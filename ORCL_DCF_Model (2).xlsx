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amp; WACC" sheetId="1" state="visible" r:id="rId3"/>
    <sheet name="DCF Valuation" sheetId="2" state="visible" r:id="rId4"/>
    <sheet name="Sensitivity"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ORCL closing price on Oct 5, 2026 (user-provided). Update with the live quote and date whenever you refresh the model; it drives the WACC weights and the upside/downside line.</t>
        </r>
      </text>
    </comment>
    <comment ref="C7" authorId="0">
      <text>
        <r>
          <rPr>
            <sz val="10"/>
            <rFont val="Arial"/>
            <family val="2"/>
          </rPr>
          <t xml:space="preserve">Source: Oracle FY2026 Form 10-K, balance sheet cover page (2,880,471,000 shares outstanding as of the filing date).</t>
        </r>
      </text>
    </comment>
    <comment ref="C11" authorId="0">
      <text>
        <r>
          <rPr>
            <sz val="10"/>
            <rFont val="Arial"/>
            <family val="2"/>
          </rPr>
          <t xml:space="preserve">Source: Oracle FY2026 10-K balance sheet — Notes payable &amp; other borrowings, current $7,199mm + non-current $122,342mm = $129,541mm (as of 5/31/2026).</t>
        </r>
      </text>
    </comment>
    <comment ref="C12" authorId="0">
      <text>
        <r>
          <rPr>
            <sz val="10"/>
            <rFont val="Arial"/>
            <family val="2"/>
          </rPr>
          <t xml:space="preserve">Source: Oracle FY2026 10-K balance sheet, cash and cash equivalents as of 5/31/2026.</t>
        </r>
      </text>
    </comment>
    <comment ref="C16" authorId="0">
      <text>
        <r>
          <rPr>
            <sz val="10"/>
            <rFont val="Arial"/>
            <family val="2"/>
          </rPr>
          <t xml:space="preserve">5.3% 10-Year Treasury yield. The 10-year was reported at ~5.2% in late September 2026 (highest since 2007). Re-check on the valuation date: Federal Reserve H.15 / FRED series DGS10, and note the date you pulled it.</t>
        </r>
      </text>
    </comment>
    <comment ref="C17" authorId="0">
      <text>
        <r>
          <rPr>
            <sz val="10"/>
            <rFont val="Arial"/>
            <family val="2"/>
          </rPr>
          <t xml:space="preserve">4.20% implied equity risk premium for the S&amp;P 500 as of Oct 1, 2026. Source: Aswath Damodaran, NYU Stern (pages.stern.nyu.edu/~adamodar/), updated monthly. Historical-premium approaches give 5-6%; using one would raise the cost of equity.</t>
        </r>
      </text>
    </comment>
    <comment ref="C18" authorId="0">
      <text>
        <r>
          <rPr>
            <sz val="10"/>
            <rFont val="Arial"/>
            <family val="2"/>
          </rPr>
          <t xml:space="preserve">1.73 is near the top of published ORCL betas in 2026: data vendors showed roughly 1.26-1.72 depending on lookback window and benchmark. It is the single biggest valuation lever here - see the Beta x Terminal Growth table on the Sensitivity tab. A more defensible approach: unlever peer betas, average, relever at ORCL's target D/E.</t>
        </r>
      </text>
    </comment>
    <comment ref="C20" authorId="0">
      <text>
        <r>
          <rPr>
            <sz val="10"/>
            <rFont val="Arial"/>
            <family val="2"/>
          </rPr>
          <t xml:space="preserve">6.0% pre-tax cost of debt, approximate. Better: yield-to-maturity on Oracle's long-dated bonds on the valuation date. S&amp;P cut ORCL to BBB- on 7/9/2026; at a ~5.3% risk-free rate, 6% implies only ~70bp of spread, which looks light for BBB- credit.</t>
        </r>
      </text>
    </comment>
    <comment ref="C21" authorId="0">
      <text>
        <r>
          <rPr>
            <sz val="10"/>
            <rFont val="Arial"/>
            <family val="2"/>
          </rPr>
          <t xml:space="preserve">Approximate effective tax rate assumption. Verify against the effective tax rate disclosed in the FY2026 10-K income tax note if you want a more precise figure.</t>
        </r>
      </text>
    </comment>
    <comment ref="C28" authorId="0">
      <text>
        <r>
          <rPr>
            <sz val="10"/>
            <rFont val="Arial"/>
            <family val="2"/>
          </rPr>
          <t xml:space="preserve">Switch scenario here. Changes revenue growth (FY27-FY31) and EBITDA margins via the Scenario Inputs below.</t>
        </r>
      </text>
    </comment>
    <comment ref="C30" authorId="0">
      <text>
        <r>
          <rPr>
            <sz val="10"/>
            <rFont val="Arial"/>
            <family val="2"/>
          </rPr>
          <t xml:space="preserve">1 = cash flows assumed to arrive mid-year (standard practice), so each year is discounted half a period less. 0 = end-of-year discounting. The terminal value uses the final year's discount factor either way, which keeps the Gordon-growth math consistent.</t>
        </r>
      </text>
    </comment>
    <comment ref="C31" authorId="0">
      <text>
        <r>
          <rPr>
            <sz val="10"/>
            <rFont val="Arial"/>
            <family val="2"/>
          </rPr>
          <t xml:space="preserve">Long-run growth in perpetuity after FY2036, roughly long-run nominal GDP. Must stay below WACC. Year 6-10 revenue growth fades linearly down to this rate.</t>
        </r>
      </text>
    </comment>
    <comment ref="C32" authorId="0">
      <text>
        <r>
          <rPr>
            <sz val="10"/>
            <rFont val="Arial"/>
            <family val="2"/>
          </rPr>
          <t xml:space="preserve">Simplifying assumption: net working capital investment equal to 3% of each year's revenue increase.</t>
        </r>
      </text>
    </comment>
    <comment ref="C33" authorId="0">
      <text>
        <r>
          <rPr>
            <sz val="10"/>
            <rFont val="Arial"/>
            <family val="2"/>
          </rPr>
          <t xml:space="preserve">Starting point for the PP&amp;E roll-forward that drives D&amp;A. ~$130B per the FY2026 10-K balance sheet (net PP&amp;E rose from ~$57B to ~$130B). Verify the exact figure in the 10-K.</t>
        </r>
      </text>
    </comment>
    <comment ref="C34" authorId="0">
      <text>
        <r>
          <rPr>
            <sz val="10"/>
            <rFont val="Arial"/>
            <family val="2"/>
          </rPr>
          <t xml:space="preserve">Judgment call. Servers depreciate over ~5-6 years (~17-20%/yr) but buildings and land, plus construction-in-progress that is not yet depreciating, pull the blended rate down. 12% implies ~8-year average life. FY2026 D&amp;A (~$9.7B) was ~17% of beginning PP&amp;E (~$57B), before the new capacity was in service.</t>
        </r>
      </text>
    </comment>
    <comment ref="C35" authorId="0">
      <text>
        <r>
          <rPr>
            <sz val="10"/>
            <rFont val="Arial"/>
            <family val="2"/>
          </rPr>
          <t xml:space="preserve">Oracle's operating lease liabilities were $30,190mm at 5/31/2026 ($3,542mm current + $26,648mm non-current), per the lease note in Oracle's SEC filings (confirmed). Kept at 0 on purpose: under US GAAP, operating lease cost is already deducted inside EBITDA, so also subtracting the liability would count the leases twice. Including it consistently would mean adding lease cost back to EBITDA and adding the liability to debt in the WACC weights. Subtracting it alone would lower the implied price by ~$10.48/share.</t>
        </r>
      </text>
    </comment>
    <comment ref="C40" authorId="0">
      <text>
        <r>
          <rPr>
            <sz val="10"/>
            <rFont val="Arial"/>
            <family val="2"/>
          </rPr>
          <t xml:space="preserve">FY2026A actual: ~30.6% operating margin + ~14.4% D&amp;A = ~45.0% EBITDA margin on ~$67.4B revenue.</t>
        </r>
      </text>
    </comment>
    <comment ref="C41" authorId="0">
      <text>
        <r>
          <rPr>
            <sz val="10"/>
            <rFont val="Arial"/>
            <family val="2"/>
          </rPr>
          <t xml:space="preserve">FY2026A actual: capex ~$55.7B on ~$67.4B revenue (~82.6%) as Oracle built AI/cloud data-center capacity.</t>
        </r>
      </text>
    </comment>
    <comment ref="C42" authorId="0">
      <text>
        <r>
          <rPr>
            <sz val="10"/>
            <rFont val="Arial"/>
            <family val="2"/>
          </rPr>
          <t xml:space="preserve">FY2026A actual: ~$9.7B D&amp;A on $67.4B revenue. Forecast years are NOT inputs - D&amp;A comes from the PP&amp;E roll-forward on the DCF tab, so it rises automatically with the capex build.</t>
        </r>
      </text>
    </comment>
    <comment ref="D41" authorId="0">
      <text>
        <r>
          <rPr>
            <sz val="10"/>
            <rFont val="Arial"/>
            <family val="2"/>
          </rPr>
          <t xml:space="preserve">Capex tapers as the AI buildout matures, toward ~12.5% of revenue by FY2036 - still above Oracle's pre-AI high-single-digit intensity, and modestly above D&amp;A so the terminal year funds 3.5% growth. Judgment call; same path in all scenarios.</t>
        </r>
      </text>
    </comment>
    <comment ref="D47" authorId="0">
      <text>
        <r>
          <rPr>
            <sz val="10"/>
            <rFont val="Arial"/>
            <family val="2"/>
          </rPr>
          <t xml:space="preserve">Bear: backlog converts slower (customer concentration / financing risk at AI-lab customers) and growth slows faster.</t>
        </r>
      </text>
    </comment>
    <comment ref="D48" authorId="0">
      <text>
        <r>
          <rPr>
            <sz val="10"/>
            <rFont val="Arial"/>
            <family val="2"/>
          </rPr>
          <t xml:space="preserve">Bear: margin compresses as lower-margin GPU rental becomes a larger share of revenue.</t>
        </r>
      </text>
    </comment>
    <comment ref="D50" authorId="0">
      <text>
        <r>
          <rPr>
            <sz val="10"/>
            <rFont val="Arial"/>
            <family val="2"/>
          </rPr>
          <t xml:space="preserve">Base: FY27-FY28 follow Street consensus (~$89.3B, ~$130.7B) reflecting Oracle's ~$523B RPO backlog; FY29-FY31 decelerate as the backlog is worked through - judgment calls.</t>
        </r>
      </text>
    </comment>
    <comment ref="D51" authorId="0">
      <text>
        <r>
          <rPr>
            <sz val="10"/>
            <rFont val="Arial"/>
            <family val="2"/>
          </rPr>
          <t xml:space="preserve">Base: EBITDA margin roughly holds near the FY2026 ~45% level as cloud scales - judgment call.</t>
        </r>
      </text>
    </comment>
    <comment ref="D53" authorId="0">
      <text>
        <r>
          <rPr>
            <sz val="10"/>
            <rFont val="Arial"/>
            <family val="2"/>
          </rPr>
          <t xml:space="preserve">Bull: backlog converts on schedule and new contracts keep growth elevated longer.</t>
        </r>
      </text>
    </comment>
    <comment ref="D54" authorId="0">
      <text>
        <r>
          <rPr>
            <sz val="10"/>
            <rFont val="Arial"/>
            <family val="2"/>
          </rPr>
          <t xml:space="preserve">Bull: operating leverage as data-center utilization rises lifts margins toward 50%.</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FY2026A revenue (~$67.4B), Oracle FY2026 10-K.</t>
        </r>
      </text>
    </comment>
    <comment ref="D49" authorId="0">
      <text>
        <r>
          <rPr>
            <sz val="10"/>
            <rFont val="Arial"/>
            <family val="2"/>
          </rPr>
          <t xml:space="preserve">Cross-check the Gordon-growth terminal value against trading multiples: mature large-cap software/infrastructure names typically trade around ~10-20x EBITDA. A result far outside that range means WACC or terminal growth deserves another look.</t>
        </r>
      </text>
    </comment>
  </commentList>
</comments>
</file>

<file path=xl/sharedStrings.xml><?xml version="1.0" encoding="utf-8"?>
<sst xmlns="http://schemas.openxmlformats.org/spreadsheetml/2006/main" count="145" uniqueCount="106">
  <si>
    <t xml:space="preserve">Oracle Corporation (ORCL) — DCF Valuation Model</t>
  </si>
  <si>
    <t xml:space="preserve">Fiscal Year End: May 31  |  All dollar figures in $ millions unless noted  |  Model updated Oct 5, 2026</t>
  </si>
  <si>
    <t xml:space="preserve">MARKET DATA</t>
  </si>
  <si>
    <t xml:space="preserve">Current Share Price ($)</t>
  </si>
  <si>
    <t xml:space="preserve">Diluted Shares Outstanding (mm)</t>
  </si>
  <si>
    <t xml:space="preserve">Market Capitalization ($mm)</t>
  </si>
  <si>
    <t xml:space="preserve">CAPITAL STRUCTURE (Book Value, $mm)</t>
  </si>
  <si>
    <t xml:space="preserve">Total Debt (ST + LT notes payable)</t>
  </si>
  <si>
    <t xml:space="preserve">Cash &amp; Cash Equivalents</t>
  </si>
  <si>
    <t xml:space="preserve">Net Debt (incl. lease liabilities)</t>
  </si>
  <si>
    <t xml:space="preserve">WACC ASSUMPTIONS</t>
  </si>
  <si>
    <t xml:space="preserve">Risk-Free Rate (10-Yr US Treasury)</t>
  </si>
  <si>
    <t xml:space="preserve">Equity Risk Premium</t>
  </si>
  <si>
    <t xml:space="preserve">Levered Beta</t>
  </si>
  <si>
    <t xml:space="preserve">Cost of Equity (CAPM)</t>
  </si>
  <si>
    <t xml:space="preserve">Pre-Tax Cost of Debt</t>
  </si>
  <si>
    <t xml:space="preserve">Tax Rate</t>
  </si>
  <si>
    <t xml:space="preserve">After-Tax Cost of Debt</t>
  </si>
  <si>
    <t xml:space="preserve">Weight of Equity</t>
  </si>
  <si>
    <t xml:space="preserve">Weight of Debt</t>
  </si>
  <si>
    <t xml:space="preserve">WACC</t>
  </si>
  <si>
    <t xml:space="preserve">MODEL SETTINGS</t>
  </si>
  <si>
    <t xml:space="preserve">Active Scenario (1 = Bear, 2 = Base, 3 = Bull)</t>
  </si>
  <si>
    <t xml:space="preserve">  Scenario in use</t>
  </si>
  <si>
    <t xml:space="preserve">Mid-Year Convention (1 = On, 0 = Off)</t>
  </si>
  <si>
    <t xml:space="preserve">Terminal Growth Rate</t>
  </si>
  <si>
    <t xml:space="preserve">ΔNWC (% of incremental revenue)</t>
  </si>
  <si>
    <t xml:space="preserve">Net PP&amp;E, end of FY2026 ($mm)</t>
  </si>
  <si>
    <t xml:space="preserve">Depreciation Rate (% of beginning net PP&amp;E)</t>
  </si>
  <si>
    <t xml:space="preserve">Operating Lease Liabilities ($mm) — excluded, see note</t>
  </si>
  <si>
    <t xml:space="preserve">OPERATING ASSUMPTIONS — LIVE (driven by active scenario; do not edit black cells)</t>
  </si>
  <si>
    <t xml:space="preserve">FY2026A</t>
  </si>
  <si>
    <t xml:space="preserve">FY2027E</t>
  </si>
  <si>
    <t xml:space="preserve">FY2028E</t>
  </si>
  <si>
    <t xml:space="preserve">FY2029E</t>
  </si>
  <si>
    <t xml:space="preserve">FY2030E</t>
  </si>
  <si>
    <t xml:space="preserve">FY2031E</t>
  </si>
  <si>
    <t xml:space="preserve">FY2032E</t>
  </si>
  <si>
    <t xml:space="preserve">FY2033E</t>
  </si>
  <si>
    <t xml:space="preserve">FY2034E</t>
  </si>
  <si>
    <t xml:space="preserve">FY2035E</t>
  </si>
  <si>
    <t xml:space="preserve">FY2036E</t>
  </si>
  <si>
    <t xml:space="preserve">Revenue Growth %</t>
  </si>
  <si>
    <t xml:space="preserve">n/a</t>
  </si>
  <si>
    <t xml:space="preserve">EBITDA Margin %</t>
  </si>
  <si>
    <t xml:space="preserve">Capex % of Revenue</t>
  </si>
  <si>
    <t xml:space="preserve">  D&amp;A % of Revenue (memo)</t>
  </si>
  <si>
    <t xml:space="preserve">SCENARIO INPUTS (FY27-FY31 are inputs; FY32-FY36 growth fades linearly to terminal growth)</t>
  </si>
  <si>
    <t xml:space="preserve">Bear: Revenue Growth %</t>
  </si>
  <si>
    <t xml:space="preserve">Bear: EBITDA Margin %</t>
  </si>
  <si>
    <t xml:space="preserve">Base: Revenue Growth %</t>
  </si>
  <si>
    <t xml:space="preserve">Base: EBITDA Margin %</t>
  </si>
  <si>
    <t xml:space="preserve">Bull: Revenue Growth %</t>
  </si>
  <si>
    <t xml:space="preserve">Bull: EBITDA Margin %</t>
  </si>
  <si>
    <t xml:space="preserve">Oracle Corporation (ORCL) — Unlevered Free Cash Flow &amp; Valuation</t>
  </si>
  <si>
    <t xml:space="preserve">$ in millions except per-share data  |  10-year forecast, EBITDA-based build</t>
  </si>
  <si>
    <t xml:space="preserve">Scenario:</t>
  </si>
  <si>
    <t xml:space="preserve">Mid-year:</t>
  </si>
  <si>
    <t xml:space="preserve">UNLEVERED FREE CASH FLOW BUILD</t>
  </si>
  <si>
    <t xml:space="preserve">Revenue</t>
  </si>
  <si>
    <t xml:space="preserve">  Revenue Growth %</t>
  </si>
  <si>
    <t xml:space="preserve">EBITDA</t>
  </si>
  <si>
    <t xml:space="preserve">  EBITDA Margin %</t>
  </si>
  <si>
    <t xml:space="preserve">  Less: D&amp;A</t>
  </si>
  <si>
    <t xml:space="preserve">EBIT</t>
  </si>
  <si>
    <t xml:space="preserve">  EBIT Margin %</t>
  </si>
  <si>
    <t xml:space="preserve">  Less: Cash Taxes on EBIT</t>
  </si>
  <si>
    <t xml:space="preserve">NOPAT</t>
  </si>
  <si>
    <t xml:space="preserve">  Add: D&amp;A</t>
  </si>
  <si>
    <t xml:space="preserve">  Less: Capex</t>
  </si>
  <si>
    <t xml:space="preserve">  Less: Increase in NWC</t>
  </si>
  <si>
    <t xml:space="preserve">Unlevered Free Cash Flow</t>
  </si>
  <si>
    <t xml:space="preserve">NET PP&amp;E ROLL-FORWARD (drives D&amp;A)</t>
  </si>
  <si>
    <t xml:space="preserve">Beginning Net PP&amp;E</t>
  </si>
  <si>
    <t xml:space="preserve">  Add: Capex</t>
  </si>
  <si>
    <t xml:space="preserve">Ending Net PP&amp;E</t>
  </si>
  <si>
    <t xml:space="preserve">  Capex / D&amp;A (x)</t>
  </si>
  <si>
    <t xml:space="preserve">DISCOUNTING</t>
  </si>
  <si>
    <t xml:space="preserve">Year</t>
  </si>
  <si>
    <t xml:space="preserve">Discount Period (mid-year adjusted)</t>
  </si>
  <si>
    <t xml:space="preserve">Discount Factor</t>
  </si>
  <si>
    <t xml:space="preserve">PV of Unlevered FCF</t>
  </si>
  <si>
    <t xml:space="preserve">ENTERPRISE &amp; EQUITY VALUE</t>
  </si>
  <si>
    <t xml:space="preserve">Sum of PV of Explicit FCFs (FY27-FY36)</t>
  </si>
  <si>
    <t xml:space="preserve">Terminal Value (end FY2036, Gordon Growth)</t>
  </si>
  <si>
    <t xml:space="preserve">PV of Terminal Value</t>
  </si>
  <si>
    <t xml:space="preserve">Enterprise Value</t>
  </si>
  <si>
    <t xml:space="preserve">  Less: Net Debt (incl. leases)</t>
  </si>
  <si>
    <t xml:space="preserve">Implied Equity Value</t>
  </si>
  <si>
    <t xml:space="preserve">  ÷ Diluted Shares Outstanding (mm)</t>
  </si>
  <si>
    <t xml:space="preserve">Implied Share Price</t>
  </si>
  <si>
    <t xml:space="preserve">Current Share Price</t>
  </si>
  <si>
    <t xml:space="preserve">Implied Upside / (Downside)</t>
  </si>
  <si>
    <t xml:space="preserve">SANITY CHECKS</t>
  </si>
  <si>
    <t xml:space="preserve">  % of Enterprise Value from Terminal Value</t>
  </si>
  <si>
    <t xml:space="preserve">  Implied Terminal EV / FY2036 EBITDA (x)</t>
  </si>
  <si>
    <t xml:space="preserve">  Terminal-Year Capex / D&amp;A (x)</t>
  </si>
  <si>
    <t xml:space="preserve">Sensitivity: Implied Share Price</t>
  </si>
  <si>
    <t xml:space="preserve">Each cell independently re-runs the 10-year DCF (active scenario, mid-year setting) at the row/column inputs.</t>
  </si>
  <si>
    <t xml:space="preserve">Table 1 — WACC vs. Terminal Growth</t>
  </si>
  <si>
    <t xml:space="preserve">WACC \ Term. g</t>
  </si>
  <si>
    <t xml:space="preserve">Center (highlighted) cell = base WACC and terminal growth; it ties to the Implied Share Price on the DCF tab.</t>
  </si>
  <si>
    <t xml:space="preserve">Table 2 — Levered Beta vs. Terminal Growth (WACC recomputed for each beta)</t>
  </si>
  <si>
    <t xml:space="preserve">Beta</t>
  </si>
  <si>
    <t xml:space="preserve">Implied WACC</t>
  </si>
  <si>
    <t xml:space="preserve">Last row = beta currently on the Assumptions tab (its center cell matches Table 1). Rows above are illustrative betas spanning the 2026 vendor range (~1.26-1.72) and below.</t>
  </si>
</sst>
</file>

<file path=xl/styles.xml><?xml version="1.0" encoding="utf-8"?>
<styleSheet xmlns="http://schemas.openxmlformats.org/spreadsheetml/2006/main">
  <numFmts count="13">
    <numFmt numFmtId="164" formatCode="General"/>
    <numFmt numFmtId="165" formatCode="\$#,##0.00"/>
    <numFmt numFmtId="166" formatCode="#,##0"/>
    <numFmt numFmtId="167" formatCode="\$#,##0"/>
    <numFmt numFmtId="168" formatCode="0.0%"/>
    <numFmt numFmtId="169" formatCode="0.00%"/>
    <numFmt numFmtId="170" formatCode="0.00"/>
    <numFmt numFmtId="171" formatCode="0"/>
    <numFmt numFmtId="172" formatCode="\$#,##0;&quot;($&quot;#,##0\)"/>
    <numFmt numFmtId="173" formatCode="0.0\x"/>
    <numFmt numFmtId="174" formatCode="0.0"/>
    <numFmt numFmtId="175" formatCode="0.000"/>
    <numFmt numFmtId="176" formatCode="0.0%;\(0.0%\)"/>
  </numFmts>
  <fonts count="29">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b val="true"/>
      <sz val="14"/>
      <name val="Arial"/>
      <family val="2"/>
      <charset val="1"/>
    </font>
    <font>
      <i val="true"/>
      <sz val="9"/>
      <color rgb="FF666666"/>
      <name val="Arial"/>
      <family val="2"/>
      <charset val="1"/>
    </font>
    <font>
      <b val="true"/>
      <sz val="11"/>
      <color rgb="FFFFFFFF"/>
      <name val="Arial"/>
      <family val="2"/>
      <charset val="1"/>
    </font>
    <font>
      <sz val="10"/>
      <name val="Arial"/>
      <family val="2"/>
      <charset val="1"/>
    </font>
    <font>
      <sz val="10"/>
      <color rgb="FF0000FF"/>
      <name val="Arial"/>
      <family val="2"/>
      <charset val="1"/>
    </font>
    <font>
      <b val="true"/>
      <sz val="10"/>
      <name val="Arial"/>
      <family val="2"/>
      <charset val="1"/>
    </font>
    <font>
      <b val="true"/>
      <sz val="11"/>
      <color rgb="FF000000"/>
      <name val="Arial"/>
      <family val="2"/>
      <charset val="1"/>
    </font>
    <font>
      <sz val="11"/>
      <color rgb="FF000000"/>
      <name val="Arial"/>
      <family val="2"/>
      <charset val="1"/>
    </font>
    <font>
      <sz val="10"/>
      <name val="Arial"/>
      <family val="0"/>
      <charset val="1"/>
    </font>
    <font>
      <b val="true"/>
      <sz val="11"/>
      <color rgb="FFFFFFFF"/>
      <name val="Arial"/>
      <family val="0"/>
      <charset val="1"/>
    </font>
    <font>
      <sz val="10"/>
      <color rgb="FF0000FF"/>
      <name val="Arial"/>
      <family val="0"/>
      <charset val="1"/>
    </font>
    <font>
      <b val="true"/>
      <sz val="11"/>
      <color rgb="FF000000"/>
      <name val="Arial"/>
      <family val="0"/>
      <charset val="1"/>
    </font>
    <font>
      <b val="true"/>
      <sz val="10"/>
      <name val="Arial"/>
      <family val="0"/>
      <charset val="1"/>
    </font>
    <font>
      <sz val="9"/>
      <color rgb="FF999999"/>
      <name val="Arial"/>
      <family val="0"/>
      <charset val="1"/>
    </font>
    <font>
      <sz val="11"/>
      <color rgb="FF000000"/>
      <name val="Arial"/>
      <family val="0"/>
      <charset val="1"/>
    </font>
    <font>
      <sz val="9"/>
      <color rgb="FF666666"/>
      <name val="Arial"/>
      <family val="0"/>
      <charset val="1"/>
    </font>
    <font>
      <sz val="10"/>
      <name val="Arial"/>
      <family val="2"/>
    </font>
    <font>
      <b val="true"/>
      <sz val="14"/>
      <name val="Arial"/>
      <family val="0"/>
      <charset val="1"/>
    </font>
    <font>
      <b val="true"/>
      <sz val="12"/>
      <color rgb="FF000000"/>
      <name val="Arial"/>
      <family val="0"/>
      <charset val="1"/>
    </font>
    <font>
      <b val="true"/>
      <sz val="11"/>
      <name val="Arial"/>
      <family val="0"/>
      <charset val="1"/>
    </font>
    <font>
      <b val="true"/>
      <sz val="10"/>
      <color rgb="FFFFFFFF"/>
      <name val="Arial"/>
      <family val="0"/>
      <charset val="1"/>
    </font>
    <font>
      <b val="true"/>
      <sz val="10"/>
      <color rgb="FF0000FF"/>
      <name val="Arial"/>
      <family val="0"/>
      <charset val="1"/>
    </font>
    <font>
      <sz val="10"/>
      <color rgb="FF000000"/>
      <name val="Arial"/>
      <family val="0"/>
      <charset val="1"/>
    </font>
    <font>
      <b val="true"/>
      <sz val="10"/>
      <color rgb="FF0000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8" fontId="11"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general" vertical="bottom" textRotation="0" wrapText="false" indent="0" shrinkToFit="false"/>
      <protection locked="true" hidden="false"/>
    </xf>
    <xf numFmtId="171" fontId="15" fillId="3"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7" fontId="15" fillId="3"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72" fontId="19"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72" fontId="16" fillId="4" borderId="0" xfId="0" applyFont="true" applyBorder="false" applyAlignment="true" applyProtection="false">
      <alignment horizontal="general" vertical="bottom" textRotation="0" wrapText="false" indent="0" shrinkToFit="false"/>
      <protection locked="true" hidden="false"/>
    </xf>
    <xf numFmtId="173" fontId="20" fillId="0" borderId="0" xfId="0" applyFont="true" applyBorder="false" applyAlignment="true" applyProtection="false">
      <alignment horizontal="general" vertical="bottom" textRotation="0" wrapText="false" indent="0" shrinkToFit="false"/>
      <protection locked="true" hidden="false"/>
    </xf>
    <xf numFmtId="171" fontId="19" fillId="0" borderId="0" xfId="0" applyFont="true" applyBorder="false" applyAlignment="true" applyProtection="false">
      <alignment horizontal="general" vertical="bottom" textRotation="0" wrapText="false" indent="0" shrinkToFit="false"/>
      <protection locked="true" hidden="false"/>
    </xf>
    <xf numFmtId="174" fontId="19" fillId="0" borderId="0" xfId="0" applyFont="true" applyBorder="false" applyAlignment="tru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general" vertical="bottom" textRotation="0" wrapText="false" indent="0" shrinkToFit="false"/>
      <protection locked="true" hidden="false"/>
    </xf>
    <xf numFmtId="172" fontId="16" fillId="0" borderId="0" xfId="0" applyFont="true" applyBorder="false" applyAlignment="true" applyProtection="false">
      <alignment horizontal="general" vertical="bottom" textRotation="0" wrapText="false" indent="0" shrinkToFit="false"/>
      <protection locked="true" hidden="false"/>
    </xf>
    <xf numFmtId="167" fontId="16" fillId="4"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5" fontId="23" fillId="5"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76" fontId="16" fillId="5"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8" fontId="25" fillId="2" borderId="0" xfId="0" applyFont="true" applyBorder="false" applyAlignment="true" applyProtection="false">
      <alignment horizontal="center" vertical="bottom" textRotation="0" wrapText="false" indent="0"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5" fontId="24" fillId="5" borderId="1" xfId="0" applyFont="true" applyBorder="true" applyAlignment="true" applyProtection="false">
      <alignment horizontal="center" vertical="bottom"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xf numFmtId="168" fontId="27" fillId="0" borderId="1" xfId="0" applyFont="true" applyBorder="true" applyAlignment="true" applyProtection="false">
      <alignment horizontal="center" vertical="bottom" textRotation="0" wrapText="false" indent="0" shrinkToFit="false"/>
      <protection locked="true" hidden="false"/>
    </xf>
    <xf numFmtId="170" fontId="2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18" activeCellId="0" sqref="C18"/>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8" min="3" style="1" width="13"/>
    <col collapsed="false" customWidth="true" hidden="false" outlineLevel="0" max="13" min="9" style="1" width="11"/>
  </cols>
  <sheetData>
    <row r="1" customFormat="false" ht="15" hidden="false" customHeight="true" outlineLevel="0" collapsed="false">
      <c r="A1" s="2"/>
      <c r="B1" s="2"/>
      <c r="C1" s="2"/>
      <c r="D1" s="2"/>
      <c r="E1" s="2"/>
      <c r="F1" s="2"/>
      <c r="G1" s="2"/>
      <c r="H1" s="2"/>
    </row>
    <row r="2" customFormat="false" ht="17.25" hidden="false" customHeight="true" outlineLevel="0" collapsed="false">
      <c r="A2" s="2"/>
      <c r="B2" s="3" t="s">
        <v>0</v>
      </c>
      <c r="C2" s="2"/>
      <c r="D2" s="2"/>
      <c r="E2" s="2"/>
      <c r="F2" s="2"/>
      <c r="G2" s="2"/>
      <c r="H2" s="2"/>
    </row>
    <row r="3" customFormat="false" ht="15" hidden="false" customHeight="true" outlineLevel="0" collapsed="false">
      <c r="A3" s="2"/>
      <c r="B3" s="4" t="s">
        <v>1</v>
      </c>
      <c r="C3" s="2"/>
      <c r="D3" s="2"/>
      <c r="E3" s="2"/>
      <c r="F3" s="2"/>
      <c r="G3" s="2"/>
      <c r="H3" s="2"/>
    </row>
    <row r="4" customFormat="false" ht="15" hidden="false" customHeight="true" outlineLevel="0" collapsed="false">
      <c r="A4" s="2"/>
      <c r="B4" s="2"/>
      <c r="C4" s="2"/>
      <c r="D4" s="2"/>
      <c r="E4" s="2"/>
      <c r="F4" s="2"/>
      <c r="G4" s="2"/>
      <c r="H4" s="2"/>
    </row>
    <row r="5" customFormat="false" ht="15" hidden="false" customHeight="true" outlineLevel="0" collapsed="false">
      <c r="A5" s="2"/>
      <c r="B5" s="5" t="s">
        <v>2</v>
      </c>
      <c r="C5" s="5"/>
      <c r="D5" s="5"/>
      <c r="E5" s="2"/>
      <c r="F5" s="2"/>
      <c r="G5" s="2"/>
      <c r="H5" s="2"/>
    </row>
    <row r="6" customFormat="false" ht="15" hidden="false" customHeight="true" outlineLevel="0" collapsed="false">
      <c r="A6" s="2"/>
      <c r="B6" s="6" t="s">
        <v>3</v>
      </c>
      <c r="C6" s="7" t="n">
        <v>142.48</v>
      </c>
      <c r="D6" s="2"/>
      <c r="E6" s="2"/>
      <c r="F6" s="2"/>
      <c r="G6" s="2"/>
      <c r="H6" s="2"/>
    </row>
    <row r="7" customFormat="false" ht="15" hidden="false" customHeight="true" outlineLevel="0" collapsed="false">
      <c r="A7" s="2"/>
      <c r="B7" s="6" t="s">
        <v>4</v>
      </c>
      <c r="C7" s="8" t="n">
        <v>2880</v>
      </c>
      <c r="D7" s="2"/>
      <c r="E7" s="2"/>
      <c r="F7" s="2"/>
      <c r="G7" s="2"/>
      <c r="H7" s="2"/>
    </row>
    <row r="8" customFormat="false" ht="15" hidden="false" customHeight="true" outlineLevel="0" collapsed="false">
      <c r="A8" s="2"/>
      <c r="B8" s="9" t="s">
        <v>5</v>
      </c>
      <c r="C8" s="10" t="n">
        <f aca="false">C6*C7</f>
        <v>410342.4</v>
      </c>
      <c r="D8" s="2"/>
      <c r="E8" s="2"/>
      <c r="F8" s="2"/>
      <c r="G8" s="2"/>
      <c r="H8" s="2"/>
    </row>
    <row r="9" customFormat="false" ht="15" hidden="false" customHeight="true" outlineLevel="0" collapsed="false">
      <c r="A9" s="2"/>
      <c r="B9" s="2"/>
      <c r="C9" s="2"/>
      <c r="D9" s="2"/>
      <c r="E9" s="2"/>
      <c r="F9" s="2"/>
      <c r="G9" s="2"/>
      <c r="H9" s="2"/>
    </row>
    <row r="10" customFormat="false" ht="15" hidden="false" customHeight="true" outlineLevel="0" collapsed="false">
      <c r="A10" s="2"/>
      <c r="B10" s="5" t="s">
        <v>6</v>
      </c>
      <c r="C10" s="5"/>
      <c r="D10" s="5"/>
      <c r="E10" s="2"/>
      <c r="F10" s="2"/>
      <c r="G10" s="2"/>
      <c r="H10" s="2"/>
    </row>
    <row r="11" customFormat="false" ht="15" hidden="false" customHeight="true" outlineLevel="0" collapsed="false">
      <c r="A11" s="2"/>
      <c r="B11" s="6" t="s">
        <v>7</v>
      </c>
      <c r="C11" s="11" t="n">
        <v>129541</v>
      </c>
      <c r="D11" s="2"/>
      <c r="E11" s="2"/>
      <c r="F11" s="2"/>
      <c r="G11" s="2"/>
      <c r="H11" s="2"/>
    </row>
    <row r="12" customFormat="false" ht="15" hidden="false" customHeight="true" outlineLevel="0" collapsed="false">
      <c r="A12" s="2"/>
      <c r="B12" s="6" t="s">
        <v>8</v>
      </c>
      <c r="C12" s="11" t="n">
        <v>31289</v>
      </c>
      <c r="D12" s="2"/>
      <c r="E12" s="2"/>
      <c r="F12" s="2"/>
      <c r="G12" s="2"/>
      <c r="H12" s="2"/>
    </row>
    <row r="13" customFormat="false" ht="15" hidden="false" customHeight="true" outlineLevel="0" collapsed="false">
      <c r="A13" s="2"/>
      <c r="B13" s="9" t="s">
        <v>9</v>
      </c>
      <c r="C13" s="10" t="n">
        <f aca="false">C11-C12+C35</f>
        <v>98252</v>
      </c>
      <c r="D13" s="2"/>
      <c r="E13" s="2"/>
      <c r="F13" s="2"/>
      <c r="G13" s="2"/>
      <c r="H13" s="2"/>
    </row>
    <row r="14" customFormat="false" ht="15" hidden="false" customHeight="true" outlineLevel="0" collapsed="false">
      <c r="A14" s="2"/>
      <c r="B14" s="2"/>
      <c r="C14" s="2"/>
      <c r="D14" s="2"/>
      <c r="E14" s="2"/>
      <c r="F14" s="2"/>
      <c r="G14" s="2"/>
      <c r="H14" s="2"/>
    </row>
    <row r="15" customFormat="false" ht="15" hidden="false" customHeight="true" outlineLevel="0" collapsed="false">
      <c r="A15" s="2"/>
      <c r="B15" s="5" t="s">
        <v>10</v>
      </c>
      <c r="C15" s="5"/>
      <c r="D15" s="5"/>
      <c r="E15" s="2"/>
      <c r="F15" s="2"/>
      <c r="G15" s="2"/>
      <c r="H15" s="2"/>
    </row>
    <row r="16" customFormat="false" ht="15" hidden="false" customHeight="true" outlineLevel="0" collapsed="false">
      <c r="A16" s="2"/>
      <c r="B16" s="6" t="s">
        <v>11</v>
      </c>
      <c r="C16" s="12" t="n">
        <v>0.053</v>
      </c>
      <c r="D16" s="2"/>
      <c r="E16" s="2"/>
      <c r="F16" s="2"/>
      <c r="G16" s="2"/>
      <c r="H16" s="2"/>
    </row>
    <row r="17" customFormat="false" ht="15" hidden="false" customHeight="true" outlineLevel="0" collapsed="false">
      <c r="A17" s="2"/>
      <c r="B17" s="6" t="s">
        <v>12</v>
      </c>
      <c r="C17" s="13" t="n">
        <v>0.042</v>
      </c>
      <c r="D17" s="2"/>
      <c r="E17" s="2"/>
      <c r="F17" s="2"/>
      <c r="G17" s="2"/>
      <c r="H17" s="2"/>
    </row>
    <row r="18" customFormat="false" ht="15" hidden="false" customHeight="true" outlineLevel="0" collapsed="false">
      <c r="A18" s="2"/>
      <c r="B18" s="6" t="s">
        <v>13</v>
      </c>
      <c r="C18" s="14" t="n">
        <v>1.73</v>
      </c>
      <c r="D18" s="2"/>
      <c r="E18" s="2"/>
      <c r="F18" s="2"/>
      <c r="G18" s="2"/>
      <c r="H18" s="2"/>
    </row>
    <row r="19" customFormat="false" ht="15" hidden="false" customHeight="true" outlineLevel="0" collapsed="false">
      <c r="A19" s="2"/>
      <c r="B19" s="9" t="s">
        <v>14</v>
      </c>
      <c r="C19" s="15" t="n">
        <f aca="false">C16+C18*C17</f>
        <v>0.12566</v>
      </c>
      <c r="D19" s="2"/>
      <c r="E19" s="2"/>
      <c r="F19" s="2"/>
      <c r="G19" s="2"/>
      <c r="H19" s="2"/>
    </row>
    <row r="20" customFormat="false" ht="15" hidden="false" customHeight="true" outlineLevel="0" collapsed="false">
      <c r="A20" s="2"/>
      <c r="B20" s="6" t="s">
        <v>15</v>
      </c>
      <c r="C20" s="12" t="n">
        <v>0.06</v>
      </c>
      <c r="D20" s="2"/>
      <c r="E20" s="2"/>
      <c r="F20" s="2"/>
      <c r="G20" s="2"/>
      <c r="H20" s="2"/>
    </row>
    <row r="21" customFormat="false" ht="15" hidden="false" customHeight="true" outlineLevel="0" collapsed="false">
      <c r="A21" s="2"/>
      <c r="B21" s="6" t="s">
        <v>16</v>
      </c>
      <c r="C21" s="12" t="n">
        <v>0.19</v>
      </c>
      <c r="D21" s="2"/>
      <c r="E21" s="2"/>
      <c r="F21" s="2"/>
      <c r="G21" s="2"/>
      <c r="H21" s="2"/>
    </row>
    <row r="22" customFormat="false" ht="15" hidden="false" customHeight="true" outlineLevel="0" collapsed="false">
      <c r="A22" s="2"/>
      <c r="B22" s="9" t="s">
        <v>17</v>
      </c>
      <c r="C22" s="15" t="n">
        <f aca="false">C20*(1-C21)</f>
        <v>0.0486</v>
      </c>
      <c r="D22" s="2"/>
      <c r="E22" s="2"/>
      <c r="F22" s="2"/>
      <c r="G22" s="2"/>
      <c r="H22" s="2"/>
    </row>
    <row r="23" customFormat="false" ht="15" hidden="false" customHeight="true" outlineLevel="0" collapsed="false">
      <c r="A23" s="2"/>
      <c r="B23" s="6" t="s">
        <v>18</v>
      </c>
      <c r="C23" s="16" t="n">
        <f aca="false">C8/(C8+C11)</f>
        <v>0.760057449441861</v>
      </c>
      <c r="D23" s="2"/>
      <c r="E23" s="2"/>
      <c r="F23" s="2"/>
      <c r="G23" s="2"/>
      <c r="H23" s="2"/>
    </row>
    <row r="24" customFormat="false" ht="15" hidden="false" customHeight="true" outlineLevel="0" collapsed="false">
      <c r="A24" s="2"/>
      <c r="B24" s="6" t="s">
        <v>19</v>
      </c>
      <c r="C24" s="16" t="n">
        <f aca="false">C11/(C8+C11)</f>
        <v>0.239942550558139</v>
      </c>
      <c r="D24" s="2"/>
      <c r="E24" s="2"/>
      <c r="F24" s="2"/>
      <c r="G24" s="2"/>
      <c r="H24" s="2"/>
    </row>
    <row r="25" customFormat="false" ht="15" hidden="false" customHeight="true" outlineLevel="0" collapsed="false">
      <c r="A25" s="2"/>
      <c r="B25" s="9" t="s">
        <v>20</v>
      </c>
      <c r="C25" s="17" t="n">
        <f aca="false">C23*C19+C24*C22</f>
        <v>0.10717002705399</v>
      </c>
      <c r="D25" s="2"/>
      <c r="E25" s="2"/>
      <c r="F25" s="2"/>
      <c r="G25" s="2"/>
      <c r="H25" s="2"/>
    </row>
    <row r="26" customFormat="false" ht="15" hidden="false" customHeight="true" outlineLevel="0" collapsed="false">
      <c r="A26" s="2"/>
      <c r="B26" s="18"/>
      <c r="C26" s="18"/>
      <c r="D26" s="18"/>
      <c r="E26" s="18"/>
      <c r="F26" s="18"/>
      <c r="G26" s="18"/>
      <c r="H26" s="18"/>
      <c r="I26" s="18"/>
      <c r="J26" s="18"/>
      <c r="K26" s="18"/>
      <c r="L26" s="18"/>
      <c r="M26" s="18"/>
      <c r="N26" s="18"/>
    </row>
    <row r="27" customFormat="false" ht="15" hidden="false" customHeight="true" outlineLevel="0" collapsed="false">
      <c r="A27" s="2"/>
      <c r="B27" s="19" t="s">
        <v>21</v>
      </c>
      <c r="C27" s="19"/>
      <c r="D27" s="19"/>
      <c r="E27" s="18"/>
      <c r="F27" s="18"/>
      <c r="G27" s="18"/>
      <c r="H27" s="18"/>
      <c r="I27" s="18"/>
      <c r="J27" s="18"/>
      <c r="K27" s="18"/>
      <c r="L27" s="18"/>
      <c r="M27" s="18"/>
      <c r="N27" s="18"/>
    </row>
    <row r="28" customFormat="false" ht="15" hidden="false" customHeight="true" outlineLevel="0" collapsed="false">
      <c r="A28" s="2"/>
      <c r="B28" s="18" t="s">
        <v>22</v>
      </c>
      <c r="C28" s="20" t="n">
        <v>2</v>
      </c>
      <c r="D28" s="18"/>
      <c r="E28" s="18"/>
      <c r="F28" s="18"/>
      <c r="G28" s="18"/>
      <c r="H28" s="18"/>
      <c r="I28" s="18"/>
      <c r="J28" s="18"/>
      <c r="K28" s="18"/>
      <c r="L28" s="18"/>
      <c r="M28" s="18"/>
      <c r="N28" s="18"/>
    </row>
    <row r="29" customFormat="false" ht="15" hidden="false" customHeight="true" outlineLevel="0" collapsed="false">
      <c r="A29" s="2"/>
      <c r="B29" s="18" t="s">
        <v>23</v>
      </c>
      <c r="C29" s="21" t="str">
        <f aca="false">CHOOSE(C28,"Bear","Base","Bull")</f>
        <v>Base</v>
      </c>
      <c r="D29" s="18"/>
      <c r="E29" s="18"/>
      <c r="F29" s="18"/>
      <c r="G29" s="18"/>
      <c r="H29" s="18"/>
      <c r="I29" s="18"/>
      <c r="J29" s="18"/>
      <c r="K29" s="18"/>
      <c r="L29" s="18"/>
      <c r="M29" s="18"/>
      <c r="N29" s="18"/>
    </row>
    <row r="30" customFormat="false" ht="15" hidden="false" customHeight="true" outlineLevel="0" collapsed="false">
      <c r="A30" s="2"/>
      <c r="B30" s="18" t="s">
        <v>24</v>
      </c>
      <c r="C30" s="20" t="n">
        <v>1</v>
      </c>
      <c r="D30" s="18"/>
      <c r="E30" s="18"/>
      <c r="F30" s="18"/>
      <c r="G30" s="18"/>
      <c r="H30" s="18"/>
      <c r="I30" s="18"/>
      <c r="J30" s="18"/>
      <c r="K30" s="18"/>
      <c r="L30" s="18"/>
      <c r="M30" s="18"/>
      <c r="N30" s="18"/>
    </row>
    <row r="31" customFormat="false" ht="15" hidden="false" customHeight="true" outlineLevel="0" collapsed="false">
      <c r="A31" s="2"/>
      <c r="B31" s="18" t="s">
        <v>25</v>
      </c>
      <c r="C31" s="22" t="n">
        <v>0.035</v>
      </c>
      <c r="D31" s="18"/>
      <c r="E31" s="18"/>
      <c r="F31" s="18"/>
      <c r="G31" s="18"/>
      <c r="H31" s="18"/>
      <c r="I31" s="18"/>
      <c r="J31" s="18"/>
      <c r="K31" s="18"/>
      <c r="L31" s="18"/>
      <c r="M31" s="18"/>
      <c r="N31" s="18"/>
    </row>
    <row r="32" customFormat="false" ht="15" hidden="false" customHeight="true" outlineLevel="0" collapsed="false">
      <c r="A32" s="2"/>
      <c r="B32" s="18" t="s">
        <v>26</v>
      </c>
      <c r="C32" s="22" t="n">
        <v>0.03</v>
      </c>
      <c r="D32" s="18"/>
      <c r="E32" s="18"/>
      <c r="F32" s="18"/>
      <c r="G32" s="18"/>
      <c r="H32" s="18"/>
      <c r="I32" s="18"/>
      <c r="J32" s="18"/>
      <c r="K32" s="18"/>
      <c r="L32" s="18"/>
      <c r="M32" s="18"/>
      <c r="N32" s="18"/>
    </row>
    <row r="33" customFormat="false" ht="15" hidden="false" customHeight="true" outlineLevel="0" collapsed="false">
      <c r="A33" s="2"/>
      <c r="B33" s="18" t="s">
        <v>27</v>
      </c>
      <c r="C33" s="23" t="n">
        <v>130000</v>
      </c>
      <c r="D33" s="18"/>
      <c r="E33" s="18"/>
      <c r="F33" s="18"/>
      <c r="G33" s="18"/>
      <c r="H33" s="18"/>
      <c r="I33" s="18"/>
      <c r="J33" s="18"/>
      <c r="K33" s="18"/>
      <c r="L33" s="18"/>
      <c r="M33" s="18"/>
      <c r="N33" s="18"/>
    </row>
    <row r="34" customFormat="false" ht="15" hidden="false" customHeight="true" outlineLevel="0" collapsed="false">
      <c r="A34" s="2"/>
      <c r="B34" s="18" t="s">
        <v>28</v>
      </c>
      <c r="C34" s="22" t="n">
        <v>0.12</v>
      </c>
      <c r="D34" s="18"/>
      <c r="E34" s="18"/>
      <c r="F34" s="18"/>
      <c r="G34" s="18"/>
      <c r="H34" s="18"/>
      <c r="I34" s="18"/>
      <c r="J34" s="18"/>
      <c r="K34" s="18"/>
      <c r="L34" s="18"/>
      <c r="M34" s="18"/>
      <c r="N34" s="18"/>
    </row>
    <row r="35" customFormat="false" ht="15" hidden="false" customHeight="true" outlineLevel="0" collapsed="false">
      <c r="B35" s="18" t="s">
        <v>29</v>
      </c>
      <c r="C35" s="23" t="n">
        <v>0</v>
      </c>
      <c r="D35" s="18"/>
      <c r="E35" s="18"/>
      <c r="F35" s="18"/>
      <c r="G35" s="18"/>
      <c r="H35" s="18"/>
      <c r="I35" s="18"/>
      <c r="J35" s="18"/>
      <c r="K35" s="18"/>
      <c r="L35" s="18"/>
      <c r="M35" s="18"/>
      <c r="N35" s="18"/>
    </row>
    <row r="36" customFormat="false" ht="15" hidden="false" customHeight="true" outlineLevel="0" collapsed="false">
      <c r="B36" s="18"/>
      <c r="C36" s="18"/>
      <c r="D36" s="18"/>
      <c r="E36" s="18"/>
      <c r="F36" s="18"/>
      <c r="G36" s="18"/>
      <c r="H36" s="18"/>
      <c r="I36" s="18"/>
      <c r="J36" s="18"/>
      <c r="K36" s="18"/>
      <c r="L36" s="18"/>
      <c r="M36" s="18"/>
      <c r="N36" s="18"/>
    </row>
    <row r="37" customFormat="false" ht="15" hidden="false" customHeight="true" outlineLevel="0" collapsed="false">
      <c r="B37" s="19" t="s">
        <v>30</v>
      </c>
      <c r="C37" s="19"/>
      <c r="D37" s="19"/>
      <c r="E37" s="19"/>
      <c r="F37" s="19"/>
      <c r="G37" s="19"/>
      <c r="H37" s="19"/>
      <c r="I37" s="19"/>
      <c r="J37" s="19"/>
      <c r="K37" s="19"/>
      <c r="L37" s="19"/>
      <c r="M37" s="19"/>
      <c r="N37" s="18"/>
    </row>
    <row r="38" customFormat="false" ht="15" hidden="false" customHeight="true" outlineLevel="0" collapsed="false">
      <c r="B38" s="18"/>
      <c r="C38" s="24" t="s">
        <v>31</v>
      </c>
      <c r="D38" s="24" t="s">
        <v>32</v>
      </c>
      <c r="E38" s="24" t="s">
        <v>33</v>
      </c>
      <c r="F38" s="24" t="s">
        <v>34</v>
      </c>
      <c r="G38" s="24" t="s">
        <v>35</v>
      </c>
      <c r="H38" s="24" t="s">
        <v>36</v>
      </c>
      <c r="I38" s="24" t="s">
        <v>37</v>
      </c>
      <c r="J38" s="24" t="s">
        <v>38</v>
      </c>
      <c r="K38" s="24" t="s">
        <v>39</v>
      </c>
      <c r="L38" s="24" t="s">
        <v>40</v>
      </c>
      <c r="M38" s="24" t="s">
        <v>41</v>
      </c>
      <c r="N38" s="18"/>
    </row>
    <row r="39" customFormat="false" ht="15" hidden="false" customHeight="true" outlineLevel="0" collapsed="false">
      <c r="B39" s="18" t="s">
        <v>42</v>
      </c>
      <c r="C39" s="25" t="s">
        <v>43</v>
      </c>
      <c r="D39" s="26" t="n">
        <f aca="false">CHOOSE($C$28,D47,D50,D53)</f>
        <v>0.326</v>
      </c>
      <c r="E39" s="26" t="n">
        <f aca="false">CHOOSE($C$28,E47,E50,E53)</f>
        <v>0.463</v>
      </c>
      <c r="F39" s="26" t="n">
        <f aca="false">CHOOSE($C$28,F47,F50,F53)</f>
        <v>0.25</v>
      </c>
      <c r="G39" s="26" t="n">
        <f aca="false">CHOOSE($C$28,G47,G50,G53)</f>
        <v>0.18</v>
      </c>
      <c r="H39" s="26" t="n">
        <f aca="false">CHOOSE($C$28,H47,H50,H53)</f>
        <v>0.12</v>
      </c>
      <c r="I39" s="26" t="n">
        <f aca="false">CHOOSE($C$28,I47,I50,I53)</f>
        <v>0.103</v>
      </c>
      <c r="J39" s="26" t="n">
        <f aca="false">CHOOSE($C$28,J47,J50,J53)</f>
        <v>0.086</v>
      </c>
      <c r="K39" s="26" t="n">
        <f aca="false">CHOOSE($C$28,K47,K50,K53)</f>
        <v>0.069</v>
      </c>
      <c r="L39" s="26" t="n">
        <f aca="false">CHOOSE($C$28,L47,L50,L53)</f>
        <v>0.052</v>
      </c>
      <c r="M39" s="26" t="n">
        <f aca="false">CHOOSE($C$28,M47,M50,M53)</f>
        <v>0.035</v>
      </c>
      <c r="N39" s="18"/>
    </row>
    <row r="40" customFormat="false" ht="15" hidden="false" customHeight="true" outlineLevel="0" collapsed="false">
      <c r="B40" s="18" t="s">
        <v>44</v>
      </c>
      <c r="C40" s="22" t="n">
        <v>0.45</v>
      </c>
      <c r="D40" s="26" t="n">
        <f aca="false">CHOOSE($C$28,D48,D51,D54)</f>
        <v>0.455</v>
      </c>
      <c r="E40" s="26" t="n">
        <f aca="false">CHOOSE($C$28,E48,E51,E54)</f>
        <v>0.46</v>
      </c>
      <c r="F40" s="26" t="n">
        <f aca="false">CHOOSE($C$28,F48,F51,F54)</f>
        <v>0.46</v>
      </c>
      <c r="G40" s="26" t="n">
        <f aca="false">CHOOSE($C$28,G48,G51,G54)</f>
        <v>0.46</v>
      </c>
      <c r="H40" s="26" t="n">
        <f aca="false">CHOOSE($C$28,H48,H51,H54)</f>
        <v>0.46</v>
      </c>
      <c r="I40" s="26" t="n">
        <f aca="false">CHOOSE($C$28,I48,I51,I54)</f>
        <v>0.46</v>
      </c>
      <c r="J40" s="26" t="n">
        <f aca="false">CHOOSE($C$28,J48,J51,J54)</f>
        <v>0.46</v>
      </c>
      <c r="K40" s="26" t="n">
        <f aca="false">CHOOSE($C$28,K48,K51,K54)</f>
        <v>0.46</v>
      </c>
      <c r="L40" s="26" t="n">
        <f aca="false">CHOOSE($C$28,L48,L51,L54)</f>
        <v>0.46</v>
      </c>
      <c r="M40" s="26" t="n">
        <f aca="false">CHOOSE($C$28,M48,M51,M54)</f>
        <v>0.46</v>
      </c>
      <c r="N40" s="18"/>
    </row>
    <row r="41" customFormat="false" ht="15" hidden="false" customHeight="true" outlineLevel="0" collapsed="false">
      <c r="B41" s="18" t="s">
        <v>45</v>
      </c>
      <c r="C41" s="22" t="n">
        <v>0.826</v>
      </c>
      <c r="D41" s="22" t="n">
        <v>0.65</v>
      </c>
      <c r="E41" s="22" t="n">
        <v>0.5</v>
      </c>
      <c r="F41" s="22" t="n">
        <v>0.35</v>
      </c>
      <c r="G41" s="22" t="n">
        <v>0.25</v>
      </c>
      <c r="H41" s="22" t="n">
        <v>0.18</v>
      </c>
      <c r="I41" s="22" t="n">
        <v>0.16</v>
      </c>
      <c r="J41" s="22" t="n">
        <v>0.15</v>
      </c>
      <c r="K41" s="22" t="n">
        <v>0.14</v>
      </c>
      <c r="L41" s="22" t="n">
        <v>0.13</v>
      </c>
      <c r="M41" s="22" t="n">
        <v>0.125</v>
      </c>
      <c r="N41" s="18"/>
    </row>
    <row r="42" customFormat="false" ht="15" hidden="false" customHeight="true" outlineLevel="0" collapsed="false">
      <c r="B42" s="18" t="s">
        <v>46</v>
      </c>
      <c r="C42" s="22" t="n">
        <v>0.144</v>
      </c>
      <c r="D42" s="27" t="n">
        <f aca="false">'DCF Valuation'!D17/'DCF Valuation'!D7</f>
        <v>0.174550532379124</v>
      </c>
      <c r="E42" s="27" t="n">
        <f aca="false">'DCF Valuation'!E17/'DCF Valuation'!E7</f>
        <v>0.158307907377737</v>
      </c>
      <c r="F42" s="27" t="n">
        <f aca="false">'DCF Valuation'!F17/'DCF Valuation'!F7</f>
        <v>0.159448766793927</v>
      </c>
      <c r="G42" s="27" t="n">
        <f aca="false">'DCF Valuation'!G17/'DCF Valuation'!G7</f>
        <v>0.154504165066657</v>
      </c>
      <c r="H42" s="27" t="n">
        <f aca="false">'DCF Valuation'!H17/'DCF Valuation'!H7</f>
        <v>0.148181843980945</v>
      </c>
      <c r="I42" s="27" t="n">
        <f aca="false">'DCF Valuation'!I17/'DCF Valuation'!I7</f>
        <v>0.137806004264036</v>
      </c>
      <c r="J42" s="27" t="n">
        <f aca="false">'DCF Valuation'!J17/'DCF Valuation'!J7</f>
        <v>0.129345565149495</v>
      </c>
      <c r="K42" s="27" t="n">
        <f aca="false">'DCF Valuation'!K17/'DCF Valuation'!K7</f>
        <v>0.123315338944393</v>
      </c>
      <c r="L42" s="27" t="n">
        <f aca="false">'DCF Valuation'!L17/'DCF Valuation'!L7</f>
        <v>0.119123097215842</v>
      </c>
      <c r="M42" s="27" t="n">
        <f aca="false">'DCF Valuation'!M17/'DCF Valuation'!M7</f>
        <v>0.116355870096561</v>
      </c>
      <c r="N42" s="18"/>
    </row>
    <row r="43" customFormat="false" ht="15" hidden="false" customHeight="true" outlineLevel="0" collapsed="false">
      <c r="B43" s="18"/>
      <c r="C43" s="18"/>
      <c r="D43" s="18"/>
      <c r="E43" s="18"/>
      <c r="F43" s="18"/>
      <c r="G43" s="18"/>
      <c r="H43" s="18"/>
      <c r="I43" s="18"/>
      <c r="J43" s="18"/>
      <c r="K43" s="18"/>
      <c r="L43" s="18"/>
      <c r="M43" s="18"/>
      <c r="N43" s="18"/>
    </row>
    <row r="44" customFormat="false" ht="15" hidden="false" customHeight="true" outlineLevel="0" collapsed="false">
      <c r="B44" s="18"/>
      <c r="C44" s="18"/>
      <c r="D44" s="18"/>
      <c r="E44" s="18"/>
      <c r="F44" s="18"/>
      <c r="G44" s="18"/>
      <c r="H44" s="18"/>
      <c r="I44" s="18"/>
      <c r="J44" s="18"/>
      <c r="K44" s="18"/>
      <c r="L44" s="18"/>
      <c r="M44" s="18"/>
      <c r="N44" s="18"/>
    </row>
    <row r="45" customFormat="false" ht="15" hidden="false" customHeight="true" outlineLevel="0" collapsed="false">
      <c r="B45" s="19" t="s">
        <v>47</v>
      </c>
      <c r="C45" s="19"/>
      <c r="D45" s="19"/>
      <c r="E45" s="19"/>
      <c r="F45" s="19"/>
      <c r="G45" s="19"/>
      <c r="H45" s="19"/>
      <c r="I45" s="19"/>
      <c r="J45" s="19"/>
      <c r="K45" s="19"/>
      <c r="L45" s="19"/>
      <c r="M45" s="19"/>
      <c r="N45" s="18"/>
    </row>
    <row r="46" customFormat="false" ht="15" hidden="false" customHeight="true" outlineLevel="0" collapsed="false">
      <c r="B46" s="18"/>
      <c r="C46" s="24" t="s">
        <v>31</v>
      </c>
      <c r="D46" s="24" t="s">
        <v>32</v>
      </c>
      <c r="E46" s="24" t="s">
        <v>33</v>
      </c>
      <c r="F46" s="24" t="s">
        <v>34</v>
      </c>
      <c r="G46" s="24" t="s">
        <v>35</v>
      </c>
      <c r="H46" s="24" t="s">
        <v>36</v>
      </c>
      <c r="I46" s="24" t="s">
        <v>37</v>
      </c>
      <c r="J46" s="24" t="s">
        <v>38</v>
      </c>
      <c r="K46" s="24" t="s">
        <v>39</v>
      </c>
      <c r="L46" s="24" t="s">
        <v>40</v>
      </c>
      <c r="M46" s="24" t="s">
        <v>41</v>
      </c>
      <c r="N46" s="18"/>
    </row>
    <row r="47" customFormat="false" ht="15" hidden="false" customHeight="true" outlineLevel="0" collapsed="false">
      <c r="B47" s="28" t="s">
        <v>48</v>
      </c>
      <c r="C47" s="25" t="s">
        <v>43</v>
      </c>
      <c r="D47" s="22" t="n">
        <v>0.25</v>
      </c>
      <c r="E47" s="22" t="n">
        <v>0.3</v>
      </c>
      <c r="F47" s="22" t="n">
        <v>0.15</v>
      </c>
      <c r="G47" s="22" t="n">
        <v>0.1</v>
      </c>
      <c r="H47" s="22" t="n">
        <v>0.07</v>
      </c>
      <c r="I47" s="26" t="n">
        <f aca="false">H47-($H47-$C$31)/5</f>
        <v>0.063</v>
      </c>
      <c r="J47" s="26" t="n">
        <f aca="false">I47-($H47-$C$31)/5</f>
        <v>0.056</v>
      </c>
      <c r="K47" s="26" t="n">
        <f aca="false">J47-($H47-$C$31)/5</f>
        <v>0.049</v>
      </c>
      <c r="L47" s="26" t="n">
        <f aca="false">K47-($H47-$C$31)/5</f>
        <v>0.042</v>
      </c>
      <c r="M47" s="26" t="n">
        <f aca="false">L47-($H47-$C$31)/5</f>
        <v>0.035</v>
      </c>
      <c r="N47" s="18"/>
    </row>
    <row r="48" customFormat="false" ht="15" hidden="false" customHeight="true" outlineLevel="0" collapsed="false">
      <c r="B48" s="18" t="s">
        <v>49</v>
      </c>
      <c r="C48" s="25" t="s">
        <v>43</v>
      </c>
      <c r="D48" s="22" t="n">
        <v>0.44</v>
      </c>
      <c r="E48" s="22" t="n">
        <v>0.43</v>
      </c>
      <c r="F48" s="22" t="n">
        <v>0.42</v>
      </c>
      <c r="G48" s="22" t="n">
        <v>0.41</v>
      </c>
      <c r="H48" s="22" t="n">
        <v>0.4</v>
      </c>
      <c r="I48" s="26" t="n">
        <f aca="false">H48</f>
        <v>0.4</v>
      </c>
      <c r="J48" s="26" t="n">
        <f aca="false">I48</f>
        <v>0.4</v>
      </c>
      <c r="K48" s="26" t="n">
        <f aca="false">J48</f>
        <v>0.4</v>
      </c>
      <c r="L48" s="26" t="n">
        <f aca="false">K48</f>
        <v>0.4</v>
      </c>
      <c r="M48" s="26" t="n">
        <f aca="false">L48</f>
        <v>0.4</v>
      </c>
      <c r="N48" s="18"/>
    </row>
    <row r="49" customFormat="false" ht="15" hidden="false" customHeight="true" outlineLevel="0" collapsed="false">
      <c r="B49" s="18"/>
      <c r="C49" s="18"/>
      <c r="D49" s="18"/>
      <c r="E49" s="18"/>
      <c r="F49" s="18"/>
      <c r="G49" s="18"/>
      <c r="H49" s="18"/>
      <c r="I49" s="18"/>
      <c r="J49" s="18"/>
      <c r="K49" s="18"/>
      <c r="L49" s="18"/>
      <c r="M49" s="18"/>
      <c r="N49" s="18"/>
    </row>
    <row r="50" customFormat="false" ht="15" hidden="false" customHeight="true" outlineLevel="0" collapsed="false">
      <c r="B50" s="28" t="s">
        <v>50</v>
      </c>
      <c r="C50" s="25" t="s">
        <v>43</v>
      </c>
      <c r="D50" s="22" t="n">
        <v>0.326</v>
      </c>
      <c r="E50" s="22" t="n">
        <v>0.463</v>
      </c>
      <c r="F50" s="22" t="n">
        <v>0.25</v>
      </c>
      <c r="G50" s="22" t="n">
        <v>0.18</v>
      </c>
      <c r="H50" s="22" t="n">
        <v>0.12</v>
      </c>
      <c r="I50" s="26" t="n">
        <f aca="false">H50-($H50-$C$31)/5</f>
        <v>0.103</v>
      </c>
      <c r="J50" s="26" t="n">
        <f aca="false">I50-($H50-$C$31)/5</f>
        <v>0.086</v>
      </c>
      <c r="K50" s="26" t="n">
        <f aca="false">J50-($H50-$C$31)/5</f>
        <v>0.069</v>
      </c>
      <c r="L50" s="26" t="n">
        <f aca="false">K50-($H50-$C$31)/5</f>
        <v>0.052</v>
      </c>
      <c r="M50" s="26" t="n">
        <f aca="false">L50-($H50-$C$31)/5</f>
        <v>0.035</v>
      </c>
      <c r="N50" s="18"/>
    </row>
    <row r="51" customFormat="false" ht="15" hidden="false" customHeight="true" outlineLevel="0" collapsed="false">
      <c r="B51" s="18" t="s">
        <v>51</v>
      </c>
      <c r="C51" s="25" t="s">
        <v>43</v>
      </c>
      <c r="D51" s="22" t="n">
        <v>0.455</v>
      </c>
      <c r="E51" s="22" t="n">
        <v>0.46</v>
      </c>
      <c r="F51" s="22" t="n">
        <v>0.46</v>
      </c>
      <c r="G51" s="22" t="n">
        <v>0.46</v>
      </c>
      <c r="H51" s="22" t="n">
        <v>0.46</v>
      </c>
      <c r="I51" s="26" t="n">
        <f aca="false">H51</f>
        <v>0.46</v>
      </c>
      <c r="J51" s="26" t="n">
        <f aca="false">I51</f>
        <v>0.46</v>
      </c>
      <c r="K51" s="26" t="n">
        <f aca="false">J51</f>
        <v>0.46</v>
      </c>
      <c r="L51" s="26" t="n">
        <f aca="false">K51</f>
        <v>0.46</v>
      </c>
      <c r="M51" s="26" t="n">
        <f aca="false">L51</f>
        <v>0.46</v>
      </c>
      <c r="N51" s="18"/>
    </row>
    <row r="52" customFormat="false" ht="15" hidden="false" customHeight="true" outlineLevel="0" collapsed="false">
      <c r="B52" s="18"/>
      <c r="C52" s="18"/>
      <c r="D52" s="18"/>
      <c r="E52" s="18"/>
      <c r="F52" s="18"/>
      <c r="G52" s="18"/>
      <c r="H52" s="18"/>
      <c r="I52" s="18"/>
      <c r="J52" s="18"/>
      <c r="K52" s="18"/>
      <c r="L52" s="18"/>
      <c r="M52" s="18"/>
      <c r="N52" s="18"/>
    </row>
    <row r="53" customFormat="false" ht="15" hidden="false" customHeight="true" outlineLevel="0" collapsed="false">
      <c r="B53" s="28" t="s">
        <v>52</v>
      </c>
      <c r="C53" s="25" t="s">
        <v>43</v>
      </c>
      <c r="D53" s="22" t="n">
        <v>0.35</v>
      </c>
      <c r="E53" s="22" t="n">
        <v>0.52</v>
      </c>
      <c r="F53" s="22" t="n">
        <v>0.3</v>
      </c>
      <c r="G53" s="22" t="n">
        <v>0.22</v>
      </c>
      <c r="H53" s="22" t="n">
        <v>0.15</v>
      </c>
      <c r="I53" s="26" t="n">
        <f aca="false">H53-($H53-$C$31)/5</f>
        <v>0.127</v>
      </c>
      <c r="J53" s="26" t="n">
        <f aca="false">I53-($H53-$C$31)/5</f>
        <v>0.104</v>
      </c>
      <c r="K53" s="26" t="n">
        <f aca="false">J53-($H53-$C$31)/5</f>
        <v>0.081</v>
      </c>
      <c r="L53" s="26" t="n">
        <f aca="false">K53-($H53-$C$31)/5</f>
        <v>0.058</v>
      </c>
      <c r="M53" s="26" t="n">
        <f aca="false">L53-($H53-$C$31)/5</f>
        <v>0.035</v>
      </c>
      <c r="N53" s="18"/>
    </row>
    <row r="54" customFormat="false" ht="15" hidden="false" customHeight="true" outlineLevel="0" collapsed="false">
      <c r="B54" s="18" t="s">
        <v>53</v>
      </c>
      <c r="C54" s="25" t="s">
        <v>43</v>
      </c>
      <c r="D54" s="22" t="n">
        <v>0.46</v>
      </c>
      <c r="E54" s="22" t="n">
        <v>0.47</v>
      </c>
      <c r="F54" s="22" t="n">
        <v>0.48</v>
      </c>
      <c r="G54" s="22" t="n">
        <v>0.49</v>
      </c>
      <c r="H54" s="22" t="n">
        <v>0.5</v>
      </c>
      <c r="I54" s="26" t="n">
        <f aca="false">H54</f>
        <v>0.5</v>
      </c>
      <c r="J54" s="26" t="n">
        <f aca="false">I54</f>
        <v>0.5</v>
      </c>
      <c r="K54" s="26" t="n">
        <f aca="false">J54</f>
        <v>0.5</v>
      </c>
      <c r="L54" s="26" t="n">
        <f aca="false">K54</f>
        <v>0.5</v>
      </c>
      <c r="M54" s="26" t="n">
        <f aca="false">L54</f>
        <v>0.5</v>
      </c>
      <c r="N54" s="18"/>
    </row>
    <row r="55" customFormat="false" ht="15" hidden="false" customHeight="true" outlineLevel="0" collapsed="false">
      <c r="B55" s="18"/>
      <c r="C55" s="18"/>
      <c r="D55" s="18"/>
      <c r="E55" s="18"/>
      <c r="F55" s="18"/>
      <c r="G55" s="18"/>
      <c r="H55" s="18"/>
      <c r="I55" s="18"/>
      <c r="J55" s="18"/>
      <c r="K55" s="18"/>
      <c r="L55" s="18"/>
      <c r="M55" s="18"/>
      <c r="N55" s="18"/>
    </row>
    <row r="56" customFormat="false" ht="15" hidden="false" customHeight="true" outlineLevel="0" collapsed="false">
      <c r="B56" s="18"/>
      <c r="C56" s="18"/>
      <c r="D56" s="18"/>
      <c r="E56" s="18"/>
      <c r="F56" s="18"/>
      <c r="G56" s="18"/>
      <c r="H56" s="18"/>
      <c r="I56" s="18"/>
      <c r="J56" s="18"/>
      <c r="K56" s="18"/>
      <c r="L56" s="18"/>
      <c r="M56" s="18"/>
      <c r="N56" s="18"/>
    </row>
    <row r="57" customFormat="false" ht="15" hidden="false" customHeight="true" outlineLevel="0" collapsed="false">
      <c r="B57" s="18"/>
      <c r="C57" s="18"/>
      <c r="D57" s="18"/>
      <c r="E57" s="18"/>
      <c r="F57" s="18"/>
      <c r="G57" s="18"/>
      <c r="H57" s="18"/>
      <c r="I57" s="18"/>
      <c r="J57" s="18"/>
      <c r="K57" s="18"/>
      <c r="L57" s="18"/>
      <c r="M57" s="18"/>
      <c r="N57" s="18"/>
    </row>
    <row r="58" customFormat="false" ht="15" hidden="false" customHeight="true" outlineLevel="0" collapsed="false">
      <c r="B58" s="18"/>
      <c r="C58" s="18"/>
      <c r="D58" s="18"/>
      <c r="E58" s="18"/>
      <c r="F58" s="18"/>
      <c r="G58" s="18"/>
      <c r="H58" s="18"/>
      <c r="I58" s="18"/>
      <c r="J58" s="18"/>
      <c r="K58" s="18"/>
      <c r="L58" s="18"/>
      <c r="M58" s="18"/>
      <c r="N58" s="18"/>
    </row>
    <row r="59" customFormat="false" ht="15" hidden="false" customHeight="true" outlineLevel="0" collapsed="false">
      <c r="B59" s="18"/>
      <c r="C59" s="18"/>
      <c r="D59" s="18"/>
      <c r="E59" s="18"/>
      <c r="F59" s="18"/>
      <c r="G59" s="18"/>
      <c r="H59" s="18"/>
      <c r="I59" s="18"/>
      <c r="J59" s="18"/>
      <c r="K59" s="18"/>
      <c r="L59" s="18"/>
      <c r="M59" s="18"/>
      <c r="N59" s="18"/>
    </row>
    <row r="60" customFormat="false" ht="15" hidden="false" customHeight="true" outlineLevel="0" collapsed="false">
      <c r="B60" s="18"/>
      <c r="C60" s="18"/>
      <c r="D60" s="18"/>
      <c r="E60" s="18"/>
      <c r="F60" s="18"/>
      <c r="G60" s="18"/>
      <c r="H60" s="18"/>
      <c r="I60" s="18"/>
      <c r="J60" s="18"/>
      <c r="K60" s="18"/>
      <c r="L60" s="18"/>
      <c r="M60" s="18"/>
      <c r="N60" s="18"/>
    </row>
  </sheetData>
  <mergeCells count="6">
    <mergeCell ref="B5:D5"/>
    <mergeCell ref="B10:D10"/>
    <mergeCell ref="B15:D15"/>
    <mergeCell ref="B27:D27"/>
    <mergeCell ref="B37:M37"/>
    <mergeCell ref="B45:M4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13" min="3" style="1" width="12"/>
  </cols>
  <sheetData>
    <row r="2" customFormat="false" ht="17.25" hidden="false" customHeight="true" outlineLevel="0" collapsed="false">
      <c r="B2" s="29" t="s">
        <v>54</v>
      </c>
    </row>
    <row r="3" customFormat="false" ht="15" hidden="false" customHeight="true" outlineLevel="0" collapsed="false">
      <c r="B3" s="30" t="s">
        <v>55</v>
      </c>
      <c r="J3" s="28" t="s">
        <v>56</v>
      </c>
      <c r="K3" s="31" t="str">
        <f aca="false">'Assumptions &amp; WACC'!$C$29</f>
        <v>Base</v>
      </c>
      <c r="L3" s="28" t="s">
        <v>57</v>
      </c>
      <c r="M3" s="31" t="str">
        <f aca="false">IF('Assumptions &amp; WACC'!$C$30=1,"On","Off")</f>
        <v>On</v>
      </c>
    </row>
    <row r="5" customFormat="false" ht="15" hidden="false" customHeight="true" outlineLevel="0" collapsed="false">
      <c r="B5" s="19" t="s">
        <v>58</v>
      </c>
      <c r="C5" s="19"/>
      <c r="D5" s="19"/>
      <c r="E5" s="19"/>
      <c r="F5" s="19"/>
      <c r="G5" s="19"/>
      <c r="H5" s="19"/>
      <c r="I5" s="19"/>
      <c r="J5" s="19"/>
      <c r="K5" s="19"/>
      <c r="L5" s="19"/>
      <c r="M5" s="19"/>
    </row>
    <row r="6" customFormat="false" ht="15" hidden="false" customHeight="true" outlineLevel="0" collapsed="false">
      <c r="C6" s="24" t="s">
        <v>31</v>
      </c>
      <c r="D6" s="24" t="s">
        <v>32</v>
      </c>
      <c r="E6" s="24" t="s">
        <v>33</v>
      </c>
      <c r="F6" s="24" t="s">
        <v>34</v>
      </c>
      <c r="G6" s="24" t="s">
        <v>35</v>
      </c>
      <c r="H6" s="24" t="s">
        <v>36</v>
      </c>
      <c r="I6" s="24" t="s">
        <v>37</v>
      </c>
      <c r="J6" s="24" t="s">
        <v>38</v>
      </c>
      <c r="K6" s="24" t="s">
        <v>39</v>
      </c>
      <c r="L6" s="24" t="s">
        <v>40</v>
      </c>
      <c r="M6" s="24" t="s">
        <v>41</v>
      </c>
    </row>
    <row r="7" customFormat="false" ht="15" hidden="false" customHeight="true" outlineLevel="0" collapsed="false">
      <c r="B7" s="28" t="s">
        <v>59</v>
      </c>
      <c r="C7" s="32" t="n">
        <v>67400</v>
      </c>
      <c r="D7" s="33" t="n">
        <f aca="false">C7*(1+'Assumptions &amp; WACC'!D39)</f>
        <v>89372.4</v>
      </c>
      <c r="E7" s="33" t="n">
        <f aca="false">D7*(1+'Assumptions &amp; WACC'!E39)</f>
        <v>130751.8212</v>
      </c>
      <c r="F7" s="33" t="n">
        <f aca="false">E7*(1+'Assumptions &amp; WACC'!F39)</f>
        <v>163439.7765</v>
      </c>
      <c r="G7" s="33" t="n">
        <f aca="false">F7*(1+'Assumptions &amp; WACC'!G39)</f>
        <v>192858.93627</v>
      </c>
      <c r="H7" s="33" t="n">
        <f aca="false">G7*(1+'Assumptions &amp; WACC'!H39)</f>
        <v>216002.0086224</v>
      </c>
      <c r="I7" s="33" t="n">
        <f aca="false">H7*(1+'Assumptions &amp; WACC'!I39)</f>
        <v>238250.215510507</v>
      </c>
      <c r="J7" s="33" t="n">
        <f aca="false">I7*(1+'Assumptions &amp; WACC'!J39)</f>
        <v>258739.734044411</v>
      </c>
      <c r="K7" s="33" t="n">
        <f aca="false">J7*(1+'Assumptions &amp; WACC'!K39)</f>
        <v>276592.775693475</v>
      </c>
      <c r="L7" s="33" t="n">
        <f aca="false">K7*(1+'Assumptions &amp; WACC'!L39)</f>
        <v>290975.600029536</v>
      </c>
      <c r="M7" s="33" t="n">
        <f aca="false">L7*(1+'Assumptions &amp; WACC'!M39)</f>
        <v>301159.74603057</v>
      </c>
    </row>
    <row r="8" customFormat="false" ht="15" hidden="false" customHeight="true" outlineLevel="0" collapsed="false">
      <c r="B8" s="18" t="s">
        <v>60</v>
      </c>
      <c r="C8" s="25" t="s">
        <v>43</v>
      </c>
      <c r="D8" s="27" t="n">
        <f aca="false">D7/C7-1</f>
        <v>0.326</v>
      </c>
      <c r="E8" s="27" t="n">
        <f aca="false">E7/D7-1</f>
        <v>0.463</v>
      </c>
      <c r="F8" s="27" t="n">
        <f aca="false">F7/E7-1</f>
        <v>0.25</v>
      </c>
      <c r="G8" s="27" t="n">
        <f aca="false">G7/F7-1</f>
        <v>0.18</v>
      </c>
      <c r="H8" s="27" t="n">
        <f aca="false">H7/G7-1</f>
        <v>0.12</v>
      </c>
      <c r="I8" s="27" t="n">
        <f aca="false">I7/H7-1</f>
        <v>0.103</v>
      </c>
      <c r="J8" s="27" t="n">
        <f aca="false">J7/I7-1</f>
        <v>0.0860000000000001</v>
      </c>
      <c r="K8" s="27" t="n">
        <f aca="false">K7/J7-1</f>
        <v>0.069</v>
      </c>
      <c r="L8" s="27" t="n">
        <f aca="false">L7/K7-1</f>
        <v>0.052</v>
      </c>
      <c r="M8" s="27" t="n">
        <f aca="false">M7/L7-1</f>
        <v>0.0349999999999999</v>
      </c>
    </row>
    <row r="10" customFormat="false" ht="15" hidden="false" customHeight="true" outlineLevel="0" collapsed="false">
      <c r="B10" s="28" t="s">
        <v>61</v>
      </c>
      <c r="C10" s="33" t="n">
        <f aca="false">C7*'Assumptions &amp; WACC'!C40</f>
        <v>30330</v>
      </c>
      <c r="D10" s="33" t="n">
        <f aca="false">D7*'Assumptions &amp; WACC'!D40</f>
        <v>40664.442</v>
      </c>
      <c r="E10" s="33" t="n">
        <f aca="false">E7*'Assumptions &amp; WACC'!E40</f>
        <v>60145.837752</v>
      </c>
      <c r="F10" s="33" t="n">
        <f aca="false">F7*'Assumptions &amp; WACC'!F40</f>
        <v>75182.29719</v>
      </c>
      <c r="G10" s="33" t="n">
        <f aca="false">G7*'Assumptions &amp; WACC'!G40</f>
        <v>88715.1106842</v>
      </c>
      <c r="H10" s="33" t="n">
        <f aca="false">H7*'Assumptions &amp; WACC'!H40</f>
        <v>99360.923966304</v>
      </c>
      <c r="I10" s="33" t="n">
        <f aca="false">I7*'Assumptions &amp; WACC'!I40</f>
        <v>109595.099134833</v>
      </c>
      <c r="J10" s="33" t="n">
        <f aca="false">J7*'Assumptions &amp; WACC'!J40</f>
        <v>119020.277660429</v>
      </c>
      <c r="K10" s="33" t="n">
        <f aca="false">K7*'Assumptions &amp; WACC'!K40</f>
        <v>127232.676818999</v>
      </c>
      <c r="L10" s="33" t="n">
        <f aca="false">L7*'Assumptions &amp; WACC'!L40</f>
        <v>133848.776013587</v>
      </c>
      <c r="M10" s="33" t="n">
        <f aca="false">M7*'Assumptions &amp; WACC'!M40</f>
        <v>138533.483174062</v>
      </c>
    </row>
    <row r="11" customFormat="false" ht="15" hidden="false" customHeight="true" outlineLevel="0" collapsed="false">
      <c r="B11" s="18" t="s">
        <v>62</v>
      </c>
      <c r="C11" s="27" t="n">
        <f aca="false">C10/C7</f>
        <v>0.45</v>
      </c>
      <c r="D11" s="27" t="n">
        <f aca="false">D10/D7</f>
        <v>0.455</v>
      </c>
      <c r="E11" s="27" t="n">
        <f aca="false">E10/E7</f>
        <v>0.46</v>
      </c>
      <c r="F11" s="27" t="n">
        <f aca="false">F10/F7</f>
        <v>0.46</v>
      </c>
      <c r="G11" s="27" t="n">
        <f aca="false">G10/G7</f>
        <v>0.46</v>
      </c>
      <c r="H11" s="27" t="n">
        <f aca="false">H10/H7</f>
        <v>0.46</v>
      </c>
      <c r="I11" s="27" t="n">
        <f aca="false">I10/I7</f>
        <v>0.46</v>
      </c>
      <c r="J11" s="27" t="n">
        <f aca="false">J10/J7</f>
        <v>0.46</v>
      </c>
      <c r="K11" s="27" t="n">
        <f aca="false">K10/K7</f>
        <v>0.46</v>
      </c>
      <c r="L11" s="27" t="n">
        <f aca="false">L10/L7</f>
        <v>0.46</v>
      </c>
      <c r="M11" s="27" t="n">
        <f aca="false">M10/M7</f>
        <v>0.46</v>
      </c>
    </row>
    <row r="12" customFormat="false" ht="15" hidden="false" customHeight="true" outlineLevel="0" collapsed="false">
      <c r="B12" s="18" t="s">
        <v>63</v>
      </c>
      <c r="C12" s="34" t="n">
        <f aca="false">-C7*'Assumptions &amp; WACC'!C42</f>
        <v>-9705.6</v>
      </c>
      <c r="D12" s="34" t="n">
        <f aca="false">-'Assumptions &amp; WACC'!$C$34*D23</f>
        <v>-15600</v>
      </c>
      <c r="E12" s="34" t="n">
        <f aca="false">-'Assumptions &amp; WACC'!$C$34*E23</f>
        <v>-20699.0472</v>
      </c>
      <c r="F12" s="34" t="n">
        <f aca="false">-'Assumptions &amp; WACC'!$C$34*F23</f>
        <v>-26060.270808</v>
      </c>
      <c r="G12" s="34" t="n">
        <f aca="false">-'Assumptions &amp; WACC'!$C$34*G23</f>
        <v>-29797.50892404</v>
      </c>
      <c r="H12" s="34" t="n">
        <f aca="false">-'Assumptions &amp; WACC'!$C$34*H23</f>
        <v>-32007.5759412552</v>
      </c>
      <c r="I12" s="34" t="n">
        <f aca="false">-'Assumptions &amp; WACC'!$C$34*I23</f>
        <v>-32832.3102145484</v>
      </c>
      <c r="J12" s="34" t="n">
        <f aca="false">-'Assumptions &amp; WACC'!$C$34*J23</f>
        <v>-33466.8371266044</v>
      </c>
      <c r="K12" s="34" t="n">
        <f aca="false">-'Assumptions &amp; WACC'!$C$34*K23</f>
        <v>-34108.1318842112</v>
      </c>
      <c r="L12" s="34" t="n">
        <f aca="false">-'Assumptions &amp; WACC'!$C$34*L23</f>
        <v>-34661.9146897563</v>
      </c>
      <c r="M12" s="34" t="n">
        <f aca="false">-'Assumptions &amp; WACC'!$C$34*M23</f>
        <v>-35041.7042874463</v>
      </c>
    </row>
    <row r="13" customFormat="false" ht="15" hidden="false" customHeight="true" outlineLevel="0" collapsed="false">
      <c r="B13" s="28" t="s">
        <v>64</v>
      </c>
      <c r="C13" s="33" t="n">
        <f aca="false">C10+C12</f>
        <v>20624.4</v>
      </c>
      <c r="D13" s="33" t="n">
        <f aca="false">D10+D12</f>
        <v>25064.442</v>
      </c>
      <c r="E13" s="33" t="n">
        <f aca="false">E10+E12</f>
        <v>39446.790552</v>
      </c>
      <c r="F13" s="33" t="n">
        <f aca="false">F10+F12</f>
        <v>49122.026382</v>
      </c>
      <c r="G13" s="33" t="n">
        <f aca="false">G10+G12</f>
        <v>58917.60176016</v>
      </c>
      <c r="H13" s="33" t="n">
        <f aca="false">H10+H12</f>
        <v>67353.3480250488</v>
      </c>
      <c r="I13" s="33" t="n">
        <f aca="false">I10+I12</f>
        <v>76762.7889202849</v>
      </c>
      <c r="J13" s="33" t="n">
        <f aca="false">J10+J12</f>
        <v>85553.4405338247</v>
      </c>
      <c r="K13" s="33" t="n">
        <f aca="false">K10+K12</f>
        <v>93124.5449347874</v>
      </c>
      <c r="L13" s="33" t="n">
        <f aca="false">L10+L12</f>
        <v>99186.8613238303</v>
      </c>
      <c r="M13" s="33" t="n">
        <f aca="false">M10+M12</f>
        <v>103491.778886616</v>
      </c>
    </row>
    <row r="14" customFormat="false" ht="15" hidden="false" customHeight="true" outlineLevel="0" collapsed="false">
      <c r="B14" s="18" t="s">
        <v>65</v>
      </c>
      <c r="C14" s="27" t="n">
        <f aca="false">C13/C7</f>
        <v>0.306</v>
      </c>
      <c r="D14" s="27" t="n">
        <f aca="false">D13/D7</f>
        <v>0.280449467620876</v>
      </c>
      <c r="E14" s="27" t="n">
        <f aca="false">E13/E7</f>
        <v>0.301692092622263</v>
      </c>
      <c r="F14" s="27" t="n">
        <f aca="false">F13/F7</f>
        <v>0.300551233206073</v>
      </c>
      <c r="G14" s="27" t="n">
        <f aca="false">G13/G7</f>
        <v>0.305495834933343</v>
      </c>
      <c r="H14" s="27" t="n">
        <f aca="false">H13/H7</f>
        <v>0.311818156019055</v>
      </c>
      <c r="I14" s="27" t="n">
        <f aca="false">I13/I7</f>
        <v>0.322193995735964</v>
      </c>
      <c r="J14" s="27" t="n">
        <f aca="false">J13/J7</f>
        <v>0.330654434850505</v>
      </c>
      <c r="K14" s="27" t="n">
        <f aca="false">K13/K7</f>
        <v>0.336684661055608</v>
      </c>
      <c r="L14" s="27" t="n">
        <f aca="false">L13/L7</f>
        <v>0.340876902784158</v>
      </c>
      <c r="M14" s="27" t="n">
        <f aca="false">M13/M7</f>
        <v>0.343644129903439</v>
      </c>
    </row>
    <row r="15" customFormat="false" ht="15" hidden="false" customHeight="true" outlineLevel="0" collapsed="false">
      <c r="B15" s="18" t="s">
        <v>66</v>
      </c>
      <c r="C15" s="34" t="n">
        <f aca="false">-C13*'Assumptions &amp; WACC'!$C$21</f>
        <v>-3918.636</v>
      </c>
      <c r="D15" s="34" t="n">
        <f aca="false">-D13*'Assumptions &amp; WACC'!$C$21</f>
        <v>-4762.24398</v>
      </c>
      <c r="E15" s="34" t="n">
        <f aca="false">-E13*'Assumptions &amp; WACC'!$C$21</f>
        <v>-7494.89020488</v>
      </c>
      <c r="F15" s="34" t="n">
        <f aca="false">-F13*'Assumptions &amp; WACC'!$C$21</f>
        <v>-9333.18501258001</v>
      </c>
      <c r="G15" s="34" t="n">
        <f aca="false">-G13*'Assumptions &amp; WACC'!$C$21</f>
        <v>-11194.3443344304</v>
      </c>
      <c r="H15" s="34" t="n">
        <f aca="false">-H13*'Assumptions &amp; WACC'!$C$21</f>
        <v>-12797.1361247593</v>
      </c>
      <c r="I15" s="34" t="n">
        <f aca="false">-I13*'Assumptions &amp; WACC'!$C$21</f>
        <v>-14584.9298948541</v>
      </c>
      <c r="J15" s="34" t="n">
        <f aca="false">-J13*'Assumptions &amp; WACC'!$C$21</f>
        <v>-16255.1537014267</v>
      </c>
      <c r="K15" s="34" t="n">
        <f aca="false">-K13*'Assumptions &amp; WACC'!$C$21</f>
        <v>-17693.6635376096</v>
      </c>
      <c r="L15" s="34" t="n">
        <f aca="false">-L13*'Assumptions &amp; WACC'!$C$21</f>
        <v>-18845.5036515278</v>
      </c>
      <c r="M15" s="34" t="n">
        <f aca="false">-M13*'Assumptions &amp; WACC'!$C$21</f>
        <v>-19663.437988457</v>
      </c>
    </row>
    <row r="16" customFormat="false" ht="15" hidden="false" customHeight="true" outlineLevel="0" collapsed="false">
      <c r="B16" s="28" t="s">
        <v>67</v>
      </c>
      <c r="C16" s="33" t="n">
        <f aca="false">C13+C15</f>
        <v>16705.764</v>
      </c>
      <c r="D16" s="33" t="n">
        <f aca="false">D13+D15</f>
        <v>20302.19802</v>
      </c>
      <c r="E16" s="33" t="n">
        <f aca="false">E13+E15</f>
        <v>31951.90034712</v>
      </c>
      <c r="F16" s="33" t="n">
        <f aca="false">F13+F15</f>
        <v>39788.84136942</v>
      </c>
      <c r="G16" s="33" t="n">
        <f aca="false">G13+G15</f>
        <v>47723.2574257296</v>
      </c>
      <c r="H16" s="33" t="n">
        <f aca="false">H13+H15</f>
        <v>54556.2119002896</v>
      </c>
      <c r="I16" s="33" t="n">
        <f aca="false">I13+I15</f>
        <v>62177.8590254308</v>
      </c>
      <c r="J16" s="33" t="n">
        <f aca="false">J13+J15</f>
        <v>69298.286832398</v>
      </c>
      <c r="K16" s="33" t="n">
        <f aca="false">K13+K15</f>
        <v>75430.8813971778</v>
      </c>
      <c r="L16" s="33" t="n">
        <f aca="false">L13+L15</f>
        <v>80341.3576723025</v>
      </c>
      <c r="M16" s="33" t="n">
        <f aca="false">M13+M15</f>
        <v>83828.3408981588</v>
      </c>
    </row>
    <row r="17" customFormat="false" ht="15" hidden="false" customHeight="true" outlineLevel="0" collapsed="false">
      <c r="B17" s="18" t="s">
        <v>68</v>
      </c>
      <c r="C17" s="35" t="n">
        <f aca="false">-C12</f>
        <v>9705.6</v>
      </c>
      <c r="D17" s="35" t="n">
        <f aca="false">-D12</f>
        <v>15600</v>
      </c>
      <c r="E17" s="35" t="n">
        <f aca="false">-E12</f>
        <v>20699.0472</v>
      </c>
      <c r="F17" s="35" t="n">
        <f aca="false">-F12</f>
        <v>26060.270808</v>
      </c>
      <c r="G17" s="35" t="n">
        <f aca="false">-G12</f>
        <v>29797.50892404</v>
      </c>
      <c r="H17" s="35" t="n">
        <f aca="false">-H12</f>
        <v>32007.5759412552</v>
      </c>
      <c r="I17" s="35" t="n">
        <f aca="false">-I12</f>
        <v>32832.3102145484</v>
      </c>
      <c r="J17" s="35" t="n">
        <f aca="false">-J12</f>
        <v>33466.8371266044</v>
      </c>
      <c r="K17" s="35" t="n">
        <f aca="false">-K12</f>
        <v>34108.1318842112</v>
      </c>
      <c r="L17" s="35" t="n">
        <f aca="false">-L12</f>
        <v>34661.9146897563</v>
      </c>
      <c r="M17" s="35" t="n">
        <f aca="false">-M12</f>
        <v>35041.7042874463</v>
      </c>
    </row>
    <row r="18" customFormat="false" ht="15" hidden="false" customHeight="true" outlineLevel="0" collapsed="false">
      <c r="B18" s="18" t="s">
        <v>69</v>
      </c>
      <c r="C18" s="34" t="n">
        <f aca="false">-C7*'Assumptions &amp; WACC'!C41</f>
        <v>-55672.4</v>
      </c>
      <c r="D18" s="34" t="n">
        <f aca="false">-D7*'Assumptions &amp; WACC'!D41</f>
        <v>-58092.06</v>
      </c>
      <c r="E18" s="34" t="n">
        <f aca="false">-E7*'Assumptions &amp; WACC'!E41</f>
        <v>-65375.9106</v>
      </c>
      <c r="F18" s="34" t="n">
        <f aca="false">-F7*'Assumptions &amp; WACC'!F41</f>
        <v>-57203.921775</v>
      </c>
      <c r="G18" s="34" t="n">
        <f aca="false">-G7*'Assumptions &amp; WACC'!G41</f>
        <v>-48214.7340675</v>
      </c>
      <c r="H18" s="34" t="n">
        <f aca="false">-H7*'Assumptions &amp; WACC'!H41</f>
        <v>-38880.361552032</v>
      </c>
      <c r="I18" s="34" t="n">
        <f aca="false">-I7*'Assumptions &amp; WACC'!I41</f>
        <v>-38120.0344816812</v>
      </c>
      <c r="J18" s="34" t="n">
        <f aca="false">-J7*'Assumptions &amp; WACC'!J41</f>
        <v>-38810.9601066616</v>
      </c>
      <c r="K18" s="34" t="n">
        <f aca="false">-K7*'Assumptions &amp; WACC'!K41</f>
        <v>-38722.9885970865</v>
      </c>
      <c r="L18" s="34" t="n">
        <f aca="false">-L7*'Assumptions &amp; WACC'!L41</f>
        <v>-37826.8280038397</v>
      </c>
      <c r="M18" s="34" t="n">
        <f aca="false">-M7*'Assumptions &amp; WACC'!M41</f>
        <v>-37644.9682538212</v>
      </c>
    </row>
    <row r="19" customFormat="false" ht="15" hidden="false" customHeight="true" outlineLevel="0" collapsed="false">
      <c r="B19" s="18" t="s">
        <v>70</v>
      </c>
      <c r="C19" s="25" t="s">
        <v>43</v>
      </c>
      <c r="D19" s="34" t="n">
        <f aca="false">-(D7-C7)*'Assumptions &amp; WACC'!$C$32</f>
        <v>-659.172</v>
      </c>
      <c r="E19" s="34" t="n">
        <f aca="false">-(E7-D7)*'Assumptions &amp; WACC'!$C$32</f>
        <v>-1241.382636</v>
      </c>
      <c r="F19" s="34" t="n">
        <f aca="false">-(F7-E7)*'Assumptions &amp; WACC'!$C$32</f>
        <v>-980.638659</v>
      </c>
      <c r="G19" s="34" t="n">
        <f aca="false">-(G7-F7)*'Assumptions &amp; WACC'!$C$32</f>
        <v>-882.5747931</v>
      </c>
      <c r="H19" s="34" t="n">
        <f aca="false">-(H7-G7)*'Assumptions &amp; WACC'!$C$32</f>
        <v>-694.292170572001</v>
      </c>
      <c r="I19" s="34" t="n">
        <f aca="false">-(I7-H7)*'Assumptions &amp; WACC'!$C$32</f>
        <v>-667.446206643216</v>
      </c>
      <c r="J19" s="34" t="n">
        <f aca="false">-(J7-I7)*'Assumptions &amp; WACC'!$C$32</f>
        <v>-614.685556017109</v>
      </c>
      <c r="K19" s="34" t="n">
        <f aca="false">-(K7-J7)*'Assumptions &amp; WACC'!$C$32</f>
        <v>-535.591249471929</v>
      </c>
      <c r="L19" s="34" t="n">
        <f aca="false">-(L7-K7)*'Assumptions &amp; WACC'!$C$32</f>
        <v>-431.484730081822</v>
      </c>
      <c r="M19" s="34" t="n">
        <f aca="false">-(M7-L7)*'Assumptions &amp; WACC'!$C$32</f>
        <v>-305.524380031012</v>
      </c>
    </row>
    <row r="20" customFormat="false" ht="15" hidden="false" customHeight="true" outlineLevel="0" collapsed="false">
      <c r="B20" s="28" t="s">
        <v>71</v>
      </c>
      <c r="C20" s="25" t="s">
        <v>43</v>
      </c>
      <c r="D20" s="36" t="n">
        <f aca="false">D16+D17+D18+D19</f>
        <v>-22849.03398</v>
      </c>
      <c r="E20" s="36" t="n">
        <f aca="false">E16+E17+E18+E19</f>
        <v>-13966.34568888</v>
      </c>
      <c r="F20" s="36" t="n">
        <f aca="false">F16+F17+F18+F19</f>
        <v>7664.55174342001</v>
      </c>
      <c r="G20" s="36" t="n">
        <f aca="false">G16+G17+G18+G19</f>
        <v>28423.4574891696</v>
      </c>
      <c r="H20" s="36" t="n">
        <f aca="false">H16+H17+H18+H19</f>
        <v>46989.1341189407</v>
      </c>
      <c r="I20" s="36" t="n">
        <f aca="false">I16+I17+I18+I19</f>
        <v>56222.6885516548</v>
      </c>
      <c r="J20" s="36" t="n">
        <f aca="false">J16+J17+J18+J19</f>
        <v>63339.4782963236</v>
      </c>
      <c r="K20" s="36" t="n">
        <f aca="false">K16+K17+K18+K19</f>
        <v>70280.4334348306</v>
      </c>
      <c r="L20" s="36" t="n">
        <f aca="false">L16+L17+L18+L19</f>
        <v>76744.9596281373</v>
      </c>
      <c r="M20" s="36" t="n">
        <f aca="false">M16+M17+M18+M19</f>
        <v>80919.5525517528</v>
      </c>
    </row>
    <row r="22" customFormat="false" ht="15" hidden="false" customHeight="true" outlineLevel="0" collapsed="false">
      <c r="B22" s="19" t="s">
        <v>72</v>
      </c>
      <c r="C22" s="19"/>
      <c r="D22" s="19"/>
      <c r="E22" s="19"/>
      <c r="F22" s="19"/>
      <c r="G22" s="19"/>
      <c r="H22" s="19"/>
      <c r="I22" s="19"/>
      <c r="J22" s="19"/>
      <c r="K22" s="19"/>
      <c r="L22" s="19"/>
      <c r="M22" s="19"/>
    </row>
    <row r="23" customFormat="false" ht="15" hidden="false" customHeight="true" outlineLevel="0" collapsed="false">
      <c r="B23" s="18" t="s">
        <v>73</v>
      </c>
      <c r="C23" s="25" t="s">
        <v>43</v>
      </c>
      <c r="D23" s="35" t="n">
        <f aca="false">C26</f>
        <v>130000</v>
      </c>
      <c r="E23" s="35" t="n">
        <f aca="false">D26</f>
        <v>172492.06</v>
      </c>
      <c r="F23" s="35" t="n">
        <f aca="false">E26</f>
        <v>217168.9234</v>
      </c>
      <c r="G23" s="35" t="n">
        <f aca="false">F26</f>
        <v>248312.574367</v>
      </c>
      <c r="H23" s="35" t="n">
        <f aca="false">G26</f>
        <v>266729.79951046</v>
      </c>
      <c r="I23" s="35" t="n">
        <f aca="false">H26</f>
        <v>273602.585121237</v>
      </c>
      <c r="J23" s="35" t="n">
        <f aca="false">I26</f>
        <v>278890.30938837</v>
      </c>
      <c r="K23" s="35" t="n">
        <f aca="false">J26</f>
        <v>284234.432368427</v>
      </c>
      <c r="L23" s="35" t="n">
        <f aca="false">K26</f>
        <v>288849.289081302</v>
      </c>
      <c r="M23" s="35" t="n">
        <f aca="false">L26</f>
        <v>292014.202395386</v>
      </c>
    </row>
    <row r="24" customFormat="false" ht="15" hidden="false" customHeight="true" outlineLevel="0" collapsed="false">
      <c r="B24" s="18" t="s">
        <v>74</v>
      </c>
      <c r="C24" s="25" t="s">
        <v>43</v>
      </c>
      <c r="D24" s="35" t="n">
        <f aca="false">-D18</f>
        <v>58092.06</v>
      </c>
      <c r="E24" s="35" t="n">
        <f aca="false">-E18</f>
        <v>65375.9106</v>
      </c>
      <c r="F24" s="35" t="n">
        <f aca="false">-F18</f>
        <v>57203.921775</v>
      </c>
      <c r="G24" s="35" t="n">
        <f aca="false">-G18</f>
        <v>48214.7340675</v>
      </c>
      <c r="H24" s="35" t="n">
        <f aca="false">-H18</f>
        <v>38880.361552032</v>
      </c>
      <c r="I24" s="35" t="n">
        <f aca="false">-I18</f>
        <v>38120.0344816812</v>
      </c>
      <c r="J24" s="35" t="n">
        <f aca="false">-J18</f>
        <v>38810.9601066616</v>
      </c>
      <c r="K24" s="35" t="n">
        <f aca="false">-K18</f>
        <v>38722.9885970865</v>
      </c>
      <c r="L24" s="35" t="n">
        <f aca="false">-L18</f>
        <v>37826.8280038397</v>
      </c>
      <c r="M24" s="35" t="n">
        <f aca="false">-M18</f>
        <v>37644.9682538212</v>
      </c>
    </row>
    <row r="25" customFormat="false" ht="15" hidden="false" customHeight="true" outlineLevel="0" collapsed="false">
      <c r="B25" s="18" t="s">
        <v>63</v>
      </c>
      <c r="C25" s="25" t="s">
        <v>43</v>
      </c>
      <c r="D25" s="34" t="n">
        <f aca="false">D12</f>
        <v>-15600</v>
      </c>
      <c r="E25" s="34" t="n">
        <f aca="false">E12</f>
        <v>-20699.0472</v>
      </c>
      <c r="F25" s="34" t="n">
        <f aca="false">F12</f>
        <v>-26060.270808</v>
      </c>
      <c r="G25" s="34" t="n">
        <f aca="false">G12</f>
        <v>-29797.50892404</v>
      </c>
      <c r="H25" s="34" t="n">
        <f aca="false">H12</f>
        <v>-32007.5759412552</v>
      </c>
      <c r="I25" s="34" t="n">
        <f aca="false">I12</f>
        <v>-32832.3102145484</v>
      </c>
      <c r="J25" s="34" t="n">
        <f aca="false">J12</f>
        <v>-33466.8371266044</v>
      </c>
      <c r="K25" s="34" t="n">
        <f aca="false">K12</f>
        <v>-34108.1318842112</v>
      </c>
      <c r="L25" s="34" t="n">
        <f aca="false">L12</f>
        <v>-34661.9146897563</v>
      </c>
      <c r="M25" s="34" t="n">
        <f aca="false">M12</f>
        <v>-35041.7042874463</v>
      </c>
    </row>
    <row r="26" customFormat="false" ht="15" hidden="false" customHeight="true" outlineLevel="0" collapsed="false">
      <c r="B26" s="28" t="s">
        <v>75</v>
      </c>
      <c r="C26" s="33" t="n">
        <f aca="false">'Assumptions &amp; WACC'!$C$33</f>
        <v>130000</v>
      </c>
      <c r="D26" s="33" t="n">
        <f aca="false">D23+D24+D25</f>
        <v>172492.06</v>
      </c>
      <c r="E26" s="33" t="n">
        <f aca="false">E23+E24+E25</f>
        <v>217168.9234</v>
      </c>
      <c r="F26" s="33" t="n">
        <f aca="false">F23+F24+F25</f>
        <v>248312.574367</v>
      </c>
      <c r="G26" s="33" t="n">
        <f aca="false">G23+G24+G25</f>
        <v>266729.79951046</v>
      </c>
      <c r="H26" s="33" t="n">
        <f aca="false">H23+H24+H25</f>
        <v>273602.585121237</v>
      </c>
      <c r="I26" s="33" t="n">
        <f aca="false">I23+I24+I25</f>
        <v>278890.30938837</v>
      </c>
      <c r="J26" s="33" t="n">
        <f aca="false">J23+J24+J25</f>
        <v>284234.432368427</v>
      </c>
      <c r="K26" s="33" t="n">
        <f aca="false">K23+K24+K25</f>
        <v>288849.289081302</v>
      </c>
      <c r="L26" s="33" t="n">
        <f aca="false">L23+L24+L25</f>
        <v>292014.202395386</v>
      </c>
      <c r="M26" s="33" t="n">
        <f aca="false">M23+M24+M25</f>
        <v>294617.466361761</v>
      </c>
    </row>
    <row r="27" customFormat="false" ht="15" hidden="false" customHeight="true" outlineLevel="0" collapsed="false">
      <c r="B27" s="18" t="s">
        <v>76</v>
      </c>
      <c r="C27" s="37" t="n">
        <f aca="false">IF(C12=0,0,C18/C12)</f>
        <v>5.73611111111111</v>
      </c>
      <c r="D27" s="37" t="n">
        <f aca="false">IF(D12=0,0,D18/D12)</f>
        <v>3.72385</v>
      </c>
      <c r="E27" s="37" t="n">
        <f aca="false">IF(E12=0,0,E18/E12)</f>
        <v>3.15840192876124</v>
      </c>
      <c r="F27" s="37" t="n">
        <f aca="false">IF(F12=0,0,F18/F12)</f>
        <v>2.19506244568416</v>
      </c>
      <c r="G27" s="37" t="n">
        <f aca="false">IF(G12=0,0,G18/G12)</f>
        <v>1.61807935658009</v>
      </c>
      <c r="H27" s="37" t="n">
        <f aca="false">IF(H12=0,0,H18/H12)</f>
        <v>1.21472371489146</v>
      </c>
      <c r="I27" s="37" t="n">
        <f aca="false">IF(I12=0,0,I18/I12)</f>
        <v>1.16105245816025</v>
      </c>
      <c r="J27" s="37" t="n">
        <f aca="false">IF(J12=0,0,J18/J12)</f>
        <v>1.15968413626422</v>
      </c>
      <c r="K27" s="37" t="n">
        <f aca="false">IF(K12=0,0,K18/K12)</f>
        <v>1.13530077603023</v>
      </c>
      <c r="L27" s="37" t="n">
        <f aca="false">IF(L12=0,0,L18/L12)</f>
        <v>1.09130809253935</v>
      </c>
      <c r="M27" s="37" t="n">
        <f aca="false">IF(M12=0,0,M18/M12)</f>
        <v>1.07429044960315</v>
      </c>
    </row>
    <row r="29" customFormat="false" ht="15" hidden="false" customHeight="true" outlineLevel="0" collapsed="false">
      <c r="B29" s="19" t="s">
        <v>77</v>
      </c>
      <c r="C29" s="19"/>
      <c r="D29" s="19"/>
      <c r="E29" s="19"/>
      <c r="F29" s="19"/>
      <c r="G29" s="19"/>
      <c r="H29" s="19"/>
      <c r="I29" s="19"/>
      <c r="J29" s="19"/>
      <c r="K29" s="19"/>
      <c r="L29" s="19"/>
      <c r="M29" s="19"/>
    </row>
    <row r="30" customFormat="false" ht="15" hidden="false" customHeight="true" outlineLevel="0" collapsed="false">
      <c r="B30" s="18" t="s">
        <v>78</v>
      </c>
      <c r="C30" s="25" t="s">
        <v>43</v>
      </c>
      <c r="D30" s="38" t="n">
        <v>1</v>
      </c>
      <c r="E30" s="38" t="n">
        <f aca="false">D30+1</f>
        <v>2</v>
      </c>
      <c r="F30" s="38" t="n">
        <f aca="false">E30+1</f>
        <v>3</v>
      </c>
      <c r="G30" s="38" t="n">
        <f aca="false">F30+1</f>
        <v>4</v>
      </c>
      <c r="H30" s="38" t="n">
        <f aca="false">G30+1</f>
        <v>5</v>
      </c>
      <c r="I30" s="38" t="n">
        <f aca="false">H30+1</f>
        <v>6</v>
      </c>
      <c r="J30" s="38" t="n">
        <f aca="false">I30+1</f>
        <v>7</v>
      </c>
      <c r="K30" s="38" t="n">
        <f aca="false">J30+1</f>
        <v>8</v>
      </c>
      <c r="L30" s="38" t="n">
        <f aca="false">K30+1</f>
        <v>9</v>
      </c>
      <c r="M30" s="38" t="n">
        <f aca="false">L30+1</f>
        <v>10</v>
      </c>
    </row>
    <row r="31" customFormat="false" ht="15" hidden="false" customHeight="true" outlineLevel="0" collapsed="false">
      <c r="B31" s="18" t="s">
        <v>79</v>
      </c>
      <c r="C31" s="25" t="s">
        <v>43</v>
      </c>
      <c r="D31" s="39" t="n">
        <f aca="false">D30-0.5*'Assumptions &amp; WACC'!$C$30</f>
        <v>0.5</v>
      </c>
      <c r="E31" s="39" t="n">
        <f aca="false">E30-0.5*'Assumptions &amp; WACC'!$C$30</f>
        <v>1.5</v>
      </c>
      <c r="F31" s="39" t="n">
        <f aca="false">F30-0.5*'Assumptions &amp; WACC'!$C$30</f>
        <v>2.5</v>
      </c>
      <c r="G31" s="39" t="n">
        <f aca="false">G30-0.5*'Assumptions &amp; WACC'!$C$30</f>
        <v>3.5</v>
      </c>
      <c r="H31" s="39" t="n">
        <f aca="false">H30-0.5*'Assumptions &amp; WACC'!$C$30</f>
        <v>4.5</v>
      </c>
      <c r="I31" s="39" t="n">
        <f aca="false">I30-0.5*'Assumptions &amp; WACC'!$C$30</f>
        <v>5.5</v>
      </c>
      <c r="J31" s="39" t="n">
        <f aca="false">J30-0.5*'Assumptions &amp; WACC'!$C$30</f>
        <v>6.5</v>
      </c>
      <c r="K31" s="39" t="n">
        <f aca="false">K30-0.5*'Assumptions &amp; WACC'!$C$30</f>
        <v>7.5</v>
      </c>
      <c r="L31" s="39" t="n">
        <f aca="false">L30-0.5*'Assumptions &amp; WACC'!$C$30</f>
        <v>8.5</v>
      </c>
      <c r="M31" s="39" t="n">
        <f aca="false">M30-0.5*'Assumptions &amp; WACC'!$C$30</f>
        <v>9.5</v>
      </c>
    </row>
    <row r="32" customFormat="false" ht="15" hidden="false" customHeight="true" outlineLevel="0" collapsed="false">
      <c r="B32" s="18" t="s">
        <v>80</v>
      </c>
      <c r="C32" s="25" t="s">
        <v>43</v>
      </c>
      <c r="D32" s="40" t="n">
        <f aca="false">1/(1+'Assumptions &amp; WACC'!$C$25)^D31</f>
        <v>0.95037026538294</v>
      </c>
      <c r="E32" s="40" t="n">
        <f aca="false">1/(1+'Assumptions &amp; WACC'!$C$25)^E31</f>
        <v>0.858377884299967</v>
      </c>
      <c r="F32" s="40" t="n">
        <f aca="false">1/(1+'Assumptions &amp; WACC'!$C$25)^F31</f>
        <v>0.775290030731756</v>
      </c>
      <c r="G32" s="40" t="n">
        <f aca="false">1/(1+'Assumptions &amp; WACC'!$C$25)^G31</f>
        <v>0.700244778839149</v>
      </c>
      <c r="H32" s="40" t="n">
        <f aca="false">1/(1+'Assumptions &amp; WACC'!$C$25)^H31</f>
        <v>0.632463634065667</v>
      </c>
      <c r="I32" s="40" t="n">
        <f aca="false">1/(1+'Assumptions &amp; WACC'!$C$25)^I31</f>
        <v>0.571243457293146</v>
      </c>
      <c r="J32" s="40" t="n">
        <f aca="false">1/(1+'Assumptions &amp; WACC'!$C$25)^J31</f>
        <v>0.515949170709704</v>
      </c>
      <c r="K32" s="40" t="n">
        <f aca="false">1/(1+'Assumptions &amp; WACC'!$C$25)^K31</f>
        <v>0.466007169723123</v>
      </c>
      <c r="L32" s="40" t="n">
        <f aca="false">1/(1+'Assumptions &amp; WACC'!$C$25)^L31</f>
        <v>0.420899372577035</v>
      </c>
      <c r="M32" s="40" t="n">
        <f aca="false">1/(1+'Assumptions &amp; WACC'!$C$25)^M31</f>
        <v>0.380157845942582</v>
      </c>
    </row>
    <row r="33" customFormat="false" ht="15" hidden="false" customHeight="true" outlineLevel="0" collapsed="false">
      <c r="B33" s="28" t="s">
        <v>81</v>
      </c>
      <c r="C33" s="25" t="s">
        <v>43</v>
      </c>
      <c r="D33" s="41" t="n">
        <f aca="false">D20*D32</f>
        <v>-21715.0424873164</v>
      </c>
      <c r="E33" s="41" t="n">
        <f aca="false">E20*E32</f>
        <v>-11988.4022638228</v>
      </c>
      <c r="F33" s="41" t="n">
        <f aca="false">F20*F32</f>
        <v>5942.25055670123</v>
      </c>
      <c r="G33" s="41" t="n">
        <f aca="false">G20*G32</f>
        <v>19903.3777033475</v>
      </c>
      <c r="H33" s="41" t="n">
        <f aca="false">H20*H32</f>
        <v>29718.9185264643</v>
      </c>
      <c r="I33" s="41" t="n">
        <f aca="false">I20*I32</f>
        <v>32116.8429865631</v>
      </c>
      <c r="J33" s="41" t="n">
        <f aca="false">J20*J32</f>
        <v>32679.9513001734</v>
      </c>
      <c r="K33" s="41" t="n">
        <f aca="false">K20*K32</f>
        <v>32751.1858718797</v>
      </c>
      <c r="L33" s="41" t="n">
        <f aca="false">L20*L32</f>
        <v>32301.9053559329</v>
      </c>
      <c r="M33" s="41" t="n">
        <f aca="false">M20*M32</f>
        <v>30762.2027927119</v>
      </c>
    </row>
    <row r="35" customFormat="false" ht="15" hidden="false" customHeight="true" outlineLevel="0" collapsed="false">
      <c r="B35" s="19" t="s">
        <v>82</v>
      </c>
      <c r="C35" s="19"/>
      <c r="D35" s="19"/>
    </row>
    <row r="36" customFormat="false" ht="15" hidden="false" customHeight="true" outlineLevel="0" collapsed="false">
      <c r="B36" s="18" t="s">
        <v>83</v>
      </c>
      <c r="D36" s="34" t="n">
        <f aca="false">SUM(D33:M33)</f>
        <v>182473.190342635</v>
      </c>
    </row>
    <row r="37" customFormat="false" ht="15" hidden="false" customHeight="true" outlineLevel="0" collapsed="false">
      <c r="B37" s="18" t="s">
        <v>84</v>
      </c>
      <c r="D37" s="35" t="n">
        <f aca="false">M20*(1+'Assumptions &amp; WACC'!$C$31)/('Assumptions &amp; WACC'!$C$25-'Assumptions &amp; WACC'!$C$31)</f>
        <v>1160478.11411253</v>
      </c>
    </row>
    <row r="38" customFormat="false" ht="15" hidden="false" customHeight="true" outlineLevel="0" collapsed="false">
      <c r="B38" s="18" t="s">
        <v>85</v>
      </c>
      <c r="D38" s="35" t="n">
        <f aca="false">D37*M32</f>
        <v>441164.860124528</v>
      </c>
    </row>
    <row r="39" customFormat="false" ht="15" hidden="false" customHeight="true" outlineLevel="0" collapsed="false">
      <c r="B39" s="28" t="s">
        <v>86</v>
      </c>
      <c r="D39" s="42" t="n">
        <f aca="false">D36+D38</f>
        <v>623638.050467163</v>
      </c>
    </row>
    <row r="40" customFormat="false" ht="15" hidden="false" customHeight="true" outlineLevel="0" collapsed="false">
      <c r="B40" s="18" t="s">
        <v>87</v>
      </c>
      <c r="D40" s="34" t="n">
        <f aca="false">-'Assumptions &amp; WACC'!$C$13</f>
        <v>-98252</v>
      </c>
    </row>
    <row r="41" customFormat="false" ht="15" hidden="false" customHeight="true" outlineLevel="0" collapsed="false">
      <c r="B41" s="28" t="s">
        <v>88</v>
      </c>
      <c r="D41" s="33" t="n">
        <f aca="false">D39+D40</f>
        <v>525386.050467163</v>
      </c>
    </row>
    <row r="42" customFormat="false" ht="15" hidden="false" customHeight="true" outlineLevel="0" collapsed="false">
      <c r="B42" s="18" t="s">
        <v>89</v>
      </c>
      <c r="D42" s="43" t="n">
        <f aca="false">'Assumptions &amp; WACC'!$C$7</f>
        <v>2880</v>
      </c>
    </row>
    <row r="43" customFormat="false" ht="15" hidden="false" customHeight="true" outlineLevel="0" collapsed="false">
      <c r="B43" s="28" t="s">
        <v>90</v>
      </c>
      <c r="D43" s="44" t="n">
        <f aca="false">D41/D42</f>
        <v>182.425711967765</v>
      </c>
    </row>
    <row r="44" customFormat="false" ht="15" hidden="false" customHeight="true" outlineLevel="0" collapsed="false">
      <c r="B44" s="18" t="s">
        <v>91</v>
      </c>
      <c r="D44" s="45" t="n">
        <f aca="false">'Assumptions &amp; WACC'!$C$6</f>
        <v>142.48</v>
      </c>
    </row>
    <row r="45" customFormat="false" ht="15" hidden="false" customHeight="true" outlineLevel="0" collapsed="false">
      <c r="B45" s="28" t="s">
        <v>92</v>
      </c>
      <c r="D45" s="46" t="n">
        <f aca="false">D43/D44-1</f>
        <v>0.280360134529513</v>
      </c>
    </row>
    <row r="47" customFormat="false" ht="15" hidden="false" customHeight="true" outlineLevel="0" collapsed="false">
      <c r="B47" s="28" t="s">
        <v>93</v>
      </c>
    </row>
    <row r="48" customFormat="false" ht="15" hidden="false" customHeight="true" outlineLevel="0" collapsed="false">
      <c r="B48" s="18" t="s">
        <v>94</v>
      </c>
      <c r="D48" s="27" t="n">
        <f aca="false">D38/D39</f>
        <v>0.707405296700634</v>
      </c>
    </row>
    <row r="49" customFormat="false" ht="15" hidden="false" customHeight="true" outlineLevel="0" collapsed="false">
      <c r="B49" s="18" t="s">
        <v>95</v>
      </c>
      <c r="D49" s="37" t="n">
        <f aca="false">D37/M10</f>
        <v>8.3768781923604</v>
      </c>
    </row>
    <row r="50" customFormat="false" ht="15" hidden="false" customHeight="true" outlineLevel="0" collapsed="false">
      <c r="B50" s="18" t="s">
        <v>96</v>
      </c>
      <c r="D50" s="37" t="n">
        <f aca="false">M27</f>
        <v>1.07429044960315</v>
      </c>
    </row>
  </sheetData>
  <mergeCells count="4">
    <mergeCell ref="B5:M5"/>
    <mergeCell ref="B22:M22"/>
    <mergeCell ref="B29:M29"/>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
    <col collapsed="false" customWidth="true" hidden="false" outlineLevel="0" max="3" min="3" style="1" width="14"/>
    <col collapsed="false" customWidth="true" hidden="false" outlineLevel="0" max="9" min="4" style="1" width="12"/>
  </cols>
  <sheetData>
    <row r="2" customFormat="false" ht="17.25" hidden="false" customHeight="true" outlineLevel="0" collapsed="false">
      <c r="B2" s="29" t="s">
        <v>97</v>
      </c>
    </row>
    <row r="3" customFormat="false" ht="15" hidden="false" customHeight="true" outlineLevel="0" collapsed="false">
      <c r="B3" s="30" t="s">
        <v>98</v>
      </c>
    </row>
    <row r="5" customFormat="false" ht="15" hidden="false" customHeight="true" outlineLevel="0" collapsed="false">
      <c r="C5" s="47" t="s">
        <v>99</v>
      </c>
    </row>
    <row r="6" customFormat="false" ht="15" hidden="false" customHeight="true" outlineLevel="0" collapsed="false">
      <c r="C6" s="24" t="s">
        <v>100</v>
      </c>
      <c r="D6" s="48" t="n">
        <f aca="false">'Assumptions &amp; WACC'!$C$31+(-0.01)</f>
        <v>0.025</v>
      </c>
      <c r="E6" s="48" t="n">
        <f aca="false">'Assumptions &amp; WACC'!$C$31+(-0.005)</f>
        <v>0.03</v>
      </c>
      <c r="F6" s="48" t="n">
        <f aca="false">'Assumptions &amp; WACC'!$C$31+(0)</f>
        <v>0.035</v>
      </c>
      <c r="G6" s="48" t="n">
        <f aca="false">'Assumptions &amp; WACC'!$C$31+(0.005)</f>
        <v>0.04</v>
      </c>
      <c r="H6" s="48" t="n">
        <f aca="false">'Assumptions &amp; WACC'!$C$31+(0.01)</f>
        <v>0.045</v>
      </c>
    </row>
    <row r="7" customFormat="false" ht="15" hidden="false" customHeight="true" outlineLevel="0" collapsed="false">
      <c r="C7" s="48" t="n">
        <f aca="false">'Assumptions &amp; WACC'!$C$25+(-0.01)</f>
        <v>0.0971700270539898</v>
      </c>
      <c r="D7" s="49" t="n">
        <f aca="false">(SUMPRODUCT('DCF Valuation'!$D$20:$M$20,1/(1+$C7)^'DCF Valuation'!$D$31:$M$31)+('DCF Valuation'!$M$20*(1+D$6)/($C7-D$6))/(1+$C7)^'DCF Valuation'!$M$31-'Assumptions &amp; WACC'!$C$13)/'Assumptions &amp; WACC'!$C$7</f>
        <v>199.132084803154</v>
      </c>
      <c r="E7" s="49" t="n">
        <f aca="false">(SUMPRODUCT('DCF Valuation'!$D$20:$M$20,1/(1+$C7)^'DCF Valuation'!$D$31:$M$31)+('DCF Valuation'!$M$20*(1+E$6)/($C7-E$6))/(1+$C7)^'DCF Valuation'!$M$31-'Assumptions &amp; WACC'!$C$13)/'Assumptions &amp; WACC'!$C$7</f>
        <v>212.307677220846</v>
      </c>
      <c r="F7" s="49" t="n">
        <f aca="false">(SUMPRODUCT('DCF Valuation'!$D$20:$M$20,1/(1+$C7)^'DCF Valuation'!$D$31:$M$31)+('DCF Valuation'!$M$20*(1+F$6)/($C7-F$6))/(1+$C7)^'DCF Valuation'!$M$31-'Assumptions &amp; WACC'!$C$13)/'Assumptions &amp; WACC'!$C$7</f>
        <v>227.602553325877</v>
      </c>
      <c r="G7" s="49" t="n">
        <f aca="false">(SUMPRODUCT('DCF Valuation'!$D$20:$M$20,1/(1+$C7)^'DCF Valuation'!$D$31:$M$31)+('DCF Valuation'!$M$20*(1+G$6)/($C7-G$6))/(1+$C7)^'DCF Valuation'!$M$31-'Assumptions &amp; WACC'!$C$13)/'Assumptions &amp; WACC'!$C$7</f>
        <v>245.572760700313</v>
      </c>
      <c r="H7" s="49" t="n">
        <f aca="false">(SUMPRODUCT('DCF Valuation'!$D$20:$M$20,1/(1+$C7)^'DCF Valuation'!$D$31:$M$31)+('DCF Valuation'!$M$20*(1+H$6)/($C7-H$6))/(1+$C7)^'DCF Valuation'!$M$31-'Assumptions &amp; WACC'!$C$13)/'Assumptions &amp; WACC'!$C$7</f>
        <v>266.987514376371</v>
      </c>
    </row>
    <row r="8" customFormat="false" ht="15" hidden="false" customHeight="true" outlineLevel="0" collapsed="false">
      <c r="C8" s="48" t="n">
        <f aca="false">'Assumptions &amp; WACC'!$C$25+(-0.005)</f>
        <v>0.10217002705399</v>
      </c>
      <c r="D8" s="49" t="n">
        <f aca="false">(SUMPRODUCT('DCF Valuation'!$D$20:$M$20,1/(1+$C8)^'DCF Valuation'!$D$31:$M$31)+('DCF Valuation'!$M$20*(1+D$6)/($C8-D$6))/(1+$C8)^'DCF Valuation'!$M$31-'Assumptions &amp; WACC'!$C$13)/'Assumptions &amp; WACC'!$C$7</f>
        <v>179.572632262868</v>
      </c>
      <c r="E8" s="49" t="n">
        <f aca="false">(SUMPRODUCT('DCF Valuation'!$D$20:$M$20,1/(1+$C8)^'DCF Valuation'!$D$31:$M$31)+('DCF Valuation'!$M$20*(1+E$6)/($C8-E$6))/(1+$C8)^'DCF Valuation'!$M$31-'Assumptions &amp; WACC'!$C$13)/'Assumptions &amp; WACC'!$C$7</f>
        <v>190.606109387259</v>
      </c>
      <c r="F8" s="49" t="n">
        <f aca="false">(SUMPRODUCT('DCF Valuation'!$D$20:$M$20,1/(1+$C8)^'DCF Valuation'!$D$31:$M$31)+('DCF Valuation'!$M$20*(1+F$6)/($C8-F$6))/(1+$C8)^'DCF Valuation'!$M$31-'Assumptions &amp; WACC'!$C$13)/'Assumptions &amp; WACC'!$C$7</f>
        <v>203.282205639304</v>
      </c>
      <c r="G8" s="49" t="n">
        <f aca="false">(SUMPRODUCT('DCF Valuation'!$D$20:$M$20,1/(1+$C8)^'DCF Valuation'!$D$31:$M$31)+('DCF Valuation'!$M$20*(1+G$6)/($C8-G$6))/(1+$C8)^'DCF Valuation'!$M$31-'Assumptions &amp; WACC'!$C$13)/'Assumptions &amp; WACC'!$C$7</f>
        <v>217.997242012935</v>
      </c>
      <c r="H8" s="49" t="n">
        <f aca="false">(SUMPRODUCT('DCF Valuation'!$D$20:$M$20,1/(1+$C8)^'DCF Valuation'!$D$31:$M$31)+('DCF Valuation'!$M$20*(1+H$6)/($C8-H$6))/(1+$C8)^'DCF Valuation'!$M$31-'Assumptions &amp; WACC'!$C$13)/'Assumptions &amp; WACC'!$C$7</f>
        <v>235.286185927266</v>
      </c>
    </row>
    <row r="9" customFormat="false" ht="15" hidden="false" customHeight="true" outlineLevel="0" collapsed="false">
      <c r="C9" s="48" t="n">
        <f aca="false">'Assumptions &amp; WACC'!$C$25+(0)</f>
        <v>0.10717002705399</v>
      </c>
      <c r="D9" s="49" t="n">
        <f aca="false">(SUMPRODUCT('DCF Valuation'!$D$20:$M$20,1/(1+$C9)^'DCF Valuation'!$D$31:$M$31)+('DCF Valuation'!$M$20*(1+D$6)/($C9-D$6))/(1+$C9)^'DCF Valuation'!$M$31-'Assumptions &amp; WACC'!$C$13)/'Assumptions &amp; WACC'!$C$7</f>
        <v>162.483700337993</v>
      </c>
      <c r="E9" s="49" t="n">
        <f aca="false">(SUMPRODUCT('DCF Valuation'!$D$20:$M$20,1/(1+$C9)^'DCF Valuation'!$D$31:$M$31)+('DCF Valuation'!$M$20*(1+E$6)/($C9-E$6))/(1+$C9)^'DCF Valuation'!$M$31-'Assumptions &amp; WACC'!$C$13)/'Assumptions &amp; WACC'!$C$7</f>
        <v>171.808664794885</v>
      </c>
      <c r="F9" s="50" t="n">
        <f aca="false">(SUMPRODUCT('DCF Valuation'!$D$20:$M$20,1/(1+$C9)^'DCF Valuation'!$D$31:$M$31)+('DCF Valuation'!$M$20*(1+F$6)/($C9-F$6))/(1+$C9)^'DCF Valuation'!$M$31-'Assumptions &amp; WACC'!$C$13)/'Assumptions &amp; WACC'!$C$7</f>
        <v>182.425711967765</v>
      </c>
      <c r="G9" s="49" t="n">
        <f aca="false">(SUMPRODUCT('DCF Valuation'!$D$20:$M$20,1/(1+$C9)^'DCF Valuation'!$D$31:$M$31)+('DCF Valuation'!$M$20*(1+G$6)/($C9-G$6))/(1+$C9)^'DCF Valuation'!$M$31-'Assumptions &amp; WACC'!$C$13)/'Assumptions &amp; WACC'!$C$7</f>
        <v>194.623381873512</v>
      </c>
      <c r="H9" s="49" t="n">
        <f aca="false">(SUMPRODUCT('DCF Valuation'!$D$20:$M$20,1/(1+$C9)^'DCF Valuation'!$D$31:$M$31)+('DCF Valuation'!$M$20*(1+H$6)/($C9-H$6))/(1+$C9)^'DCF Valuation'!$M$31-'Assumptions &amp; WACC'!$C$13)/'Assumptions &amp; WACC'!$C$7</f>
        <v>208.783037398978</v>
      </c>
    </row>
    <row r="10" customFormat="false" ht="15" hidden="false" customHeight="true" outlineLevel="0" collapsed="false">
      <c r="C10" s="48" t="n">
        <f aca="false">'Assumptions &amp; WACC'!$C$25+(0.005)</f>
        <v>0.11217002705399</v>
      </c>
      <c r="D10" s="49" t="n">
        <f aca="false">(SUMPRODUCT('DCF Valuation'!$D$20:$M$20,1/(1+$C10)^'DCF Valuation'!$D$31:$M$31)+('DCF Valuation'!$M$20*(1+D$6)/($C10-D$6))/(1+$C10)^'DCF Valuation'!$M$31-'Assumptions &amp; WACC'!$C$13)/'Assumptions &amp; WACC'!$C$7</f>
        <v>147.437564984055</v>
      </c>
      <c r="E10" s="49" t="n">
        <f aca="false">(SUMPRODUCT('DCF Valuation'!$D$20:$M$20,1/(1+$C10)^'DCF Valuation'!$D$31:$M$31)+('DCF Valuation'!$M$20*(1+E$6)/($C10-E$6))/(1+$C10)^'DCF Valuation'!$M$31-'Assumptions &amp; WACC'!$C$13)/'Assumptions &amp; WACC'!$C$7</f>
        <v>155.382590416524</v>
      </c>
      <c r="F10" s="49" t="n">
        <f aca="false">(SUMPRODUCT('DCF Valuation'!$D$20:$M$20,1/(1+$C10)^'DCF Valuation'!$D$31:$M$31)+('DCF Valuation'!$M$20*(1+F$6)/($C10-F$6))/(1+$C10)^'DCF Valuation'!$M$31-'Assumptions &amp; WACC'!$C$13)/'Assumptions &amp; WACC'!$C$7</f>
        <v>164.357163943737</v>
      </c>
      <c r="G10" s="49" t="n">
        <f aca="false">(SUMPRODUCT('DCF Valuation'!$D$20:$M$20,1/(1+$C10)^'DCF Valuation'!$D$31:$M$31)+('DCF Valuation'!$M$20*(1+G$6)/($C10-G$6))/(1+$C10)^'DCF Valuation'!$M$31-'Assumptions &amp; WACC'!$C$13)/'Assumptions &amp; WACC'!$C$7</f>
        <v>174.575269432009</v>
      </c>
      <c r="H10" s="49" t="n">
        <f aca="false">(SUMPRODUCT('DCF Valuation'!$D$20:$M$20,1/(1+$C10)^'DCF Valuation'!$D$31:$M$31)+('DCF Valuation'!$M$20*(1+H$6)/($C10-H$6))/(1+$C10)^'DCF Valuation'!$M$31-'Assumptions &amp; WACC'!$C$13)/'Assumptions &amp; WACC'!$C$7</f>
        <v>186.314604840295</v>
      </c>
    </row>
    <row r="11" customFormat="false" ht="15" hidden="false" customHeight="true" outlineLevel="0" collapsed="false">
      <c r="C11" s="48" t="n">
        <f aca="false">'Assumptions &amp; WACC'!$C$25+(0.01)</f>
        <v>0.11717002705399</v>
      </c>
      <c r="D11" s="49" t="n">
        <f aca="false">(SUMPRODUCT('DCF Valuation'!$D$20:$M$20,1/(1+$C11)^'DCF Valuation'!$D$31:$M$31)+('DCF Valuation'!$M$20*(1+D$6)/($C11-D$6))/(1+$C11)^'DCF Valuation'!$M$31-'Assumptions &amp; WACC'!$C$13)/'Assumptions &amp; WACC'!$C$7</f>
        <v>134.099407170522</v>
      </c>
      <c r="E11" s="49" t="n">
        <f aca="false">(SUMPRODUCT('DCF Valuation'!$D$20:$M$20,1/(1+$C11)^'DCF Valuation'!$D$31:$M$31)+('DCF Valuation'!$M$20*(1+E$6)/($C11-E$6))/(1+$C11)^'DCF Valuation'!$M$31-'Assumptions &amp; WACC'!$C$13)/'Assumptions &amp; WACC'!$C$7</f>
        <v>140.917458289184</v>
      </c>
      <c r="F11" s="49" t="n">
        <f aca="false">(SUMPRODUCT('DCF Valuation'!$D$20:$M$20,1/(1+$C11)^'DCF Valuation'!$D$31:$M$31)+('DCF Valuation'!$M$20*(1+F$6)/($C11-F$6))/(1+$C11)^'DCF Valuation'!$M$31-'Assumptions &amp; WACC'!$C$13)/'Assumptions &amp; WACC'!$C$7</f>
        <v>148.565258571027</v>
      </c>
      <c r="G11" s="49" t="n">
        <f aca="false">(SUMPRODUCT('DCF Valuation'!$D$20:$M$20,1/(1+$C11)^'DCF Valuation'!$D$31:$M$31)+('DCF Valuation'!$M$20*(1+G$6)/($C11-G$6))/(1+$C11)^'DCF Valuation'!$M$31-'Assumptions &amp; WACC'!$C$13)/'Assumptions &amp; WACC'!$C$7</f>
        <v>157.20409132672</v>
      </c>
      <c r="H11" s="49" t="n">
        <f aca="false">(SUMPRODUCT('DCF Valuation'!$D$20:$M$20,1/(1+$C11)^'DCF Valuation'!$D$31:$M$31)+('DCF Valuation'!$M$20*(1+H$6)/($C11-H$6))/(1+$C11)^'DCF Valuation'!$M$31-'Assumptions &amp; WACC'!$C$13)/'Assumptions &amp; WACC'!$C$7</f>
        <v>167.03993523903</v>
      </c>
    </row>
    <row r="12" customFormat="false" ht="15" hidden="false" customHeight="true" outlineLevel="0" collapsed="false">
      <c r="C12" s="30" t="s">
        <v>101</v>
      </c>
    </row>
    <row r="15" customFormat="false" ht="15" hidden="false" customHeight="true" outlineLevel="0" collapsed="false">
      <c r="C15" s="47" t="s">
        <v>102</v>
      </c>
    </row>
    <row r="16" customFormat="false" ht="15" hidden="false" customHeight="true" outlineLevel="0" collapsed="false">
      <c r="C16" s="24" t="s">
        <v>103</v>
      </c>
      <c r="D16" s="24" t="s">
        <v>104</v>
      </c>
      <c r="E16" s="48" t="n">
        <f aca="false">'Assumptions &amp; WACC'!$C$31+(-0.01)</f>
        <v>0.025</v>
      </c>
      <c r="F16" s="48" t="n">
        <f aca="false">'Assumptions &amp; WACC'!$C$31+(-0.005)</f>
        <v>0.03</v>
      </c>
      <c r="G16" s="48" t="n">
        <f aca="false">'Assumptions &amp; WACC'!$C$31+(0)</f>
        <v>0.035</v>
      </c>
      <c r="H16" s="48" t="n">
        <f aca="false">'Assumptions &amp; WACC'!$C$31+(0.005)</f>
        <v>0.04</v>
      </c>
      <c r="I16" s="48" t="n">
        <f aca="false">'Assumptions &amp; WACC'!$C$31+(0.01)</f>
        <v>0.045</v>
      </c>
    </row>
    <row r="17" customFormat="false" ht="15" hidden="false" customHeight="true" outlineLevel="0" collapsed="false">
      <c r="C17" s="51" t="n">
        <v>1</v>
      </c>
      <c r="D17" s="52" t="n">
        <f aca="false">'Assumptions &amp; WACC'!$C$23*('Assumptions &amp; WACC'!$C$16+C17*'Assumptions &amp; WACC'!$C$17)+'Assumptions &amp; WACC'!$C$24*'Assumptions &amp; WACC'!$C$22</f>
        <v>0.0838666656541024</v>
      </c>
      <c r="E17" s="49" t="n">
        <f aca="false">(SUMPRODUCT('DCF Valuation'!$D$20:$M$20,1/(1+$D17)^'DCF Valuation'!$D$31:$M$31)+('DCF Valuation'!$M$20*(1+E$16)/($D17-E$16))/(1+$D17)^'DCF Valuation'!$M$31-'Assumptions &amp; WACC'!$C$13)/'Assumptions &amp; WACC'!$C$7</f>
        <v>267.998220564261</v>
      </c>
      <c r="F17" s="49" t="n">
        <f aca="false">(SUMPRODUCT('DCF Valuation'!$D$20:$M$20,1/(1+$D17)^'DCF Valuation'!$D$31:$M$31)+('DCF Valuation'!$M$20*(1+F$16)/($D17-F$16))/(1+$D17)^'DCF Valuation'!$M$31-'Assumptions &amp; WACC'!$C$13)/'Assumptions &amp; WACC'!$C$7</f>
        <v>290.341486297216</v>
      </c>
      <c r="G17" s="49" t="n">
        <f aca="false">(SUMPRODUCT('DCF Valuation'!$D$20:$M$20,1/(1+$D17)^'DCF Valuation'!$D$31:$M$31)+('DCF Valuation'!$M$20*(1+G$16)/($D17-G$16))/(1+$D17)^'DCF Valuation'!$M$31-'Assumptions &amp; WACC'!$C$13)/'Assumptions &amp; WACC'!$C$7</f>
        <v>317.257043884727</v>
      </c>
      <c r="H17" s="49" t="n">
        <f aca="false">(SUMPRODUCT('DCF Valuation'!$D$20:$M$20,1/(1+$D17)^'DCF Valuation'!$D$31:$M$31)+('DCF Valuation'!$M$20*(1+H$16)/($D17-H$16))/(1+$D17)^'DCF Valuation'!$M$31-'Assumptions &amp; WACC'!$C$13)/'Assumptions &amp; WACC'!$C$7</f>
        <v>350.308367021356</v>
      </c>
      <c r="I17" s="49" t="n">
        <f aca="false">(SUMPRODUCT('DCF Valuation'!$D$20:$M$20,1/(1+$D17)^'DCF Valuation'!$D$31:$M$31)+('DCF Valuation'!$M$20*(1+I$16)/($D17-I$16))/(1+$D17)^'DCF Valuation'!$M$31-'Assumptions &amp; WACC'!$C$13)/'Assumptions &amp; WACC'!$C$7</f>
        <v>391.863461340923</v>
      </c>
    </row>
    <row r="18" customFormat="false" ht="15" hidden="false" customHeight="true" outlineLevel="0" collapsed="false">
      <c r="C18" s="51" t="n">
        <v>1.2</v>
      </c>
      <c r="D18" s="52" t="n">
        <f aca="false">'Assumptions &amp; WACC'!$C$23*('Assumptions &amp; WACC'!$C$16+C18*'Assumptions &amp; WACC'!$C$17)+'Assumptions &amp; WACC'!$C$24*'Assumptions &amp; WACC'!$C$22</f>
        <v>0.090251148229414</v>
      </c>
      <c r="E18" s="49" t="n">
        <f aca="false">(SUMPRODUCT('DCF Valuation'!$D$20:$M$20,1/(1+$D18)^'DCF Valuation'!$D$31:$M$31)+('DCF Valuation'!$M$20*(1+E$16)/($D18-E$16))/(1+$D18)^'DCF Valuation'!$M$31-'Assumptions &amp; WACC'!$C$13)/'Assumptions &amp; WACC'!$C$7</f>
        <v>231.335883687195</v>
      </c>
      <c r="F18" s="49" t="n">
        <f aca="false">(SUMPRODUCT('DCF Valuation'!$D$20:$M$20,1/(1+$D18)^'DCF Valuation'!$D$31:$M$31)+('DCF Valuation'!$M$20*(1+F$16)/($D18-F$16))/(1+$D18)^'DCF Valuation'!$M$31-'Assumptions &amp; WACC'!$C$13)/'Assumptions &amp; WACC'!$C$7</f>
        <v>248.479474990667</v>
      </c>
      <c r="G18" s="49" t="n">
        <f aca="false">(SUMPRODUCT('DCF Valuation'!$D$20:$M$20,1/(1+$D18)^'DCF Valuation'!$D$31:$M$31)+('DCF Valuation'!$M$20*(1+G$16)/($D18-G$16))/(1+$D18)^'DCF Valuation'!$M$31-'Assumptions &amp; WACC'!$C$13)/'Assumptions &amp; WACC'!$C$7</f>
        <v>268.725914262527</v>
      </c>
      <c r="H18" s="49" t="n">
        <f aca="false">(SUMPRODUCT('DCF Valuation'!$D$20:$M$20,1/(1+$D18)^'DCF Valuation'!$D$31:$M$31)+('DCF Valuation'!$M$20*(1+H$16)/($D18-H$16))/(1+$D18)^'DCF Valuation'!$M$31-'Assumptions &amp; WACC'!$C$13)/'Assumptions &amp; WACC'!$C$7</f>
        <v>293.001403612891</v>
      </c>
      <c r="I18" s="49" t="n">
        <f aca="false">(SUMPRODUCT('DCF Valuation'!$D$20:$M$20,1/(1+$D18)^'DCF Valuation'!$D$31:$M$31)+('DCF Valuation'!$M$20*(1+I$16)/($D18-I$16))/(1+$D18)^'DCF Valuation'!$M$31-'Assumptions &amp; WACC'!$C$13)/'Assumptions &amp; WACC'!$C$7</f>
        <v>322.641505862643</v>
      </c>
    </row>
    <row r="19" customFormat="false" ht="15" hidden="false" customHeight="true" outlineLevel="0" collapsed="false">
      <c r="C19" s="51" t="n">
        <v>1.4</v>
      </c>
      <c r="D19" s="52" t="n">
        <f aca="false">'Assumptions &amp; WACC'!$C$23*('Assumptions &amp; WACC'!$C$16+C19*'Assumptions &amp; WACC'!$C$17)+'Assumptions &amp; WACC'!$C$24*'Assumptions &amp; WACC'!$C$22</f>
        <v>0.0966356308047256</v>
      </c>
      <c r="E19" s="49" t="n">
        <f aca="false">(SUMPRODUCT('DCF Valuation'!$D$20:$M$20,1/(1+$D19)^'DCF Valuation'!$D$31:$M$31)+('DCF Valuation'!$M$20*(1+E$16)/($D19-E$16))/(1+$D19)^'DCF Valuation'!$M$31-'Assumptions &amp; WACC'!$C$13)/'Assumptions &amp; WACC'!$C$7</f>
        <v>201.390344115316</v>
      </c>
      <c r="F19" s="49" t="n">
        <f aca="false">(SUMPRODUCT('DCF Valuation'!$D$20:$M$20,1/(1+$D19)^'DCF Valuation'!$D$31:$M$31)+('DCF Valuation'!$M$20*(1+F$16)/($D19-F$16))/(1+$D19)^'DCF Valuation'!$M$31-'Assumptions &amp; WACC'!$C$13)/'Assumptions &amp; WACC'!$C$7</f>
        <v>214.826201662225</v>
      </c>
      <c r="G19" s="49" t="n">
        <f aca="false">(SUMPRODUCT('DCF Valuation'!$D$20:$M$20,1/(1+$D19)^'DCF Valuation'!$D$31:$M$31)+('DCF Valuation'!$M$20*(1+G$16)/($D19-G$16))/(1+$D19)^'DCF Valuation'!$M$31-'Assumptions &amp; WACC'!$C$13)/'Assumptions &amp; WACC'!$C$7</f>
        <v>230.441944021132</v>
      </c>
      <c r="H19" s="49" t="n">
        <f aca="false">(SUMPRODUCT('DCF Valuation'!$D$20:$M$20,1/(1+$D19)^'DCF Valuation'!$D$31:$M$31)+('DCF Valuation'!$M$20*(1+H$16)/($D19-H$16))/(1+$D19)^'DCF Valuation'!$M$31-'Assumptions &amp; WACC'!$C$13)/'Assumptions &amp; WACC'!$C$7</f>
        <v>248.814915731426</v>
      </c>
      <c r="I19" s="49" t="n">
        <f aca="false">(SUMPRODUCT('DCF Valuation'!$D$20:$M$20,1/(1+$D19)^'DCF Valuation'!$D$31:$M$31)+('DCF Valuation'!$M$20*(1+I$16)/($D19-I$16))/(1+$D19)^'DCF Valuation'!$M$31-'Assumptions &amp; WACC'!$C$13)/'Assumptions &amp; WACC'!$C$7</f>
        <v>270.74608387003</v>
      </c>
    </row>
    <row r="20" customFormat="false" ht="15" hidden="false" customHeight="true" outlineLevel="0" collapsed="false">
      <c r="C20" s="51" t="n">
        <v>1.6</v>
      </c>
      <c r="D20" s="52" t="n">
        <f aca="false">'Assumptions &amp; WACC'!$C$23*('Assumptions &amp; WACC'!$C$16+C20*'Assumptions &amp; WACC'!$C$17)+'Assumptions &amp; WACC'!$C$24*'Assumptions &amp; WACC'!$C$22</f>
        <v>0.103020113380037</v>
      </c>
      <c r="E20" s="49" t="n">
        <f aca="false">(SUMPRODUCT('DCF Valuation'!$D$20:$M$20,1/(1+$D20)^'DCF Valuation'!$D$31:$M$31)+('DCF Valuation'!$M$20*(1+E$16)/($D20-E$16))/(1+$D20)^'DCF Valuation'!$M$31-'Assumptions &amp; WACC'!$C$13)/'Assumptions &amp; WACC'!$C$7</f>
        <v>176.506060955432</v>
      </c>
      <c r="F20" s="49" t="n">
        <f aca="false">(SUMPRODUCT('DCF Valuation'!$D$20:$M$20,1/(1+$D20)^'DCF Valuation'!$D$31:$M$31)+('DCF Valuation'!$M$20*(1+F$16)/($D20-F$16))/(1+$D20)^'DCF Valuation'!$M$31-'Assumptions &amp; WACC'!$C$13)/'Assumptions &amp; WACC'!$C$7</f>
        <v>187.22181505142</v>
      </c>
      <c r="G20" s="49" t="n">
        <f aca="false">(SUMPRODUCT('DCF Valuation'!$D$20:$M$20,1/(1+$D20)^'DCF Valuation'!$D$31:$M$31)+('DCF Valuation'!$M$20*(1+G$16)/($D20-G$16))/(1+$D20)^'DCF Valuation'!$M$31-'Assumptions &amp; WACC'!$C$13)/'Assumptions &amp; WACC'!$C$7</f>
        <v>199.512949364156</v>
      </c>
      <c r="H20" s="49" t="n">
        <f aca="false">(SUMPRODUCT('DCF Valuation'!$D$20:$M$20,1/(1+$D20)^'DCF Valuation'!$D$31:$M$31)+('DCF Valuation'!$M$20*(1+H$16)/($D20-H$16))/(1+$D20)^'DCF Valuation'!$M$31-'Assumptions &amp; WACC'!$C$13)/'Assumptions &amp; WACC'!$C$7</f>
        <v>213.754434708256</v>
      </c>
      <c r="I20" s="49" t="n">
        <f aca="false">(SUMPRODUCT('DCF Valuation'!$D$20:$M$20,1/(1+$D20)^'DCF Valuation'!$D$31:$M$31)+('DCF Valuation'!$M$20*(1+I$16)/($D20-I$16))/(1+$D20)^'DCF Valuation'!$M$31-'Assumptions &amp; WACC'!$C$13)/'Assumptions &amp; WACC'!$C$7</f>
        <v>230.450497355714</v>
      </c>
    </row>
    <row r="21" customFormat="false" ht="15" hidden="false" customHeight="true" outlineLevel="0" collapsed="false">
      <c r="C21" s="53" t="n">
        <f aca="false">'Assumptions &amp; WACC'!$C$18</f>
        <v>1.73</v>
      </c>
      <c r="D21" s="52" t="n">
        <f aca="false">'Assumptions &amp; WACC'!$C$23*('Assumptions &amp; WACC'!$C$16+C21*'Assumptions &amp; WACC'!$C$17)+'Assumptions &amp; WACC'!$C$24*'Assumptions &amp; WACC'!$C$22</f>
        <v>0.10717002705399</v>
      </c>
      <c r="E21" s="49" t="n">
        <f aca="false">(SUMPRODUCT('DCF Valuation'!$D$20:$M$20,1/(1+$D21)^'DCF Valuation'!$D$31:$M$31)+('DCF Valuation'!$M$20*(1+E$16)/($D21-E$16))/(1+$D21)^'DCF Valuation'!$M$31-'Assumptions &amp; WACC'!$C$13)/'Assumptions &amp; WACC'!$C$7</f>
        <v>162.483700337993</v>
      </c>
      <c r="F21" s="49" t="n">
        <f aca="false">(SUMPRODUCT('DCF Valuation'!$D$20:$M$20,1/(1+$D21)^'DCF Valuation'!$D$31:$M$31)+('DCF Valuation'!$M$20*(1+F$16)/($D21-F$16))/(1+$D21)^'DCF Valuation'!$M$31-'Assumptions &amp; WACC'!$C$13)/'Assumptions &amp; WACC'!$C$7</f>
        <v>171.808664794885</v>
      </c>
      <c r="G21" s="50" t="n">
        <f aca="false">(SUMPRODUCT('DCF Valuation'!$D$20:$M$20,1/(1+$D21)^'DCF Valuation'!$D$31:$M$31)+('DCF Valuation'!$M$20*(1+G$16)/($D21-G$16))/(1+$D21)^'DCF Valuation'!$M$31-'Assumptions &amp; WACC'!$C$13)/'Assumptions &amp; WACC'!$C$7</f>
        <v>182.425711967765</v>
      </c>
      <c r="H21" s="49" t="n">
        <f aca="false">(SUMPRODUCT('DCF Valuation'!$D$20:$M$20,1/(1+$D21)^'DCF Valuation'!$D$31:$M$31)+('DCF Valuation'!$M$20*(1+H$16)/($D21-H$16))/(1+$D21)^'DCF Valuation'!$M$31-'Assumptions &amp; WACC'!$C$13)/'Assumptions &amp; WACC'!$C$7</f>
        <v>194.623381873512</v>
      </c>
      <c r="I21" s="49" t="n">
        <f aca="false">(SUMPRODUCT('DCF Valuation'!$D$20:$M$20,1/(1+$D21)^'DCF Valuation'!$D$31:$M$31)+('DCF Valuation'!$M$20*(1+I$16)/($D21-I$16))/(1+$D21)^'DCF Valuation'!$M$31-'Assumptions &amp; WACC'!$C$13)/'Assumptions &amp; WACC'!$C$7</f>
        <v>208.783037398978</v>
      </c>
    </row>
    <row r="22" customFormat="false" ht="15" hidden="false" customHeight="true" outlineLevel="0" collapsed="false">
      <c r="C22" s="30"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2026-09-28T22:19:54Z</dcterms:created>
  <dc:creator>openpyxl</dc:creator>
  <dc:description/>
  <dc:language>en-US</dc:language>
  <cp:lastModifiedBy>Carlos D Trinidad</cp:lastModifiedBy>
  <dcterms:modified xsi:type="dcterms:W3CDTF">2026-10-05T22:54:44Z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